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merged"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<sst xmlns="http://schemas.openxmlformats.org/spreadsheetml/2006/main" count="303" uniqueCount="303">
  <si>
    <t xml:space="preserve">testcase_id</t>
  </si>
  <si>
    <t xml:space="preserve">input_search</t>
  </si>
  <si>
    <t xml:space="preserve">Expected_Top 1</t>
  </si>
  <si>
    <t xml:space="preserve">Expected_Top 2</t>
  </si>
  <si>
    <t xml:space="preserve">Expected_Top 3</t>
  </si>
  <si>
    <t xml:space="preserve">Expected_Top 4</t>
  </si>
  <si>
    <t xml:space="preserve">Expected_Top 5</t>
  </si>
  <si>
    <t xml:space="preserve">Expected_Top 6</t>
  </si>
  <si>
    <t xml:space="preserve">Expected_Top 7</t>
  </si>
  <si>
    <t xml:space="preserve">Expected_Top 8</t>
  </si>
  <si>
    <t xml:space="preserve">Expected_Top 9</t>
  </si>
  <si>
    <t xml:space="preserve">Expected_Top 10</t>
  </si>
  <si>
    <t xml:space="preserve">result_1_doc_id</t>
  </si>
  <si>
    <t xml:space="preserve">result_2_doc_id</t>
  </si>
  <si>
    <t xml:space="preserve">result_3_doc_id</t>
  </si>
  <si>
    <t xml:space="preserve">result_4_doc_id</t>
  </si>
  <si>
    <t xml:space="preserve">result_5_doc_id</t>
  </si>
  <si>
    <t xml:space="preserve">result_6_doc_id</t>
  </si>
  <si>
    <t xml:space="preserve">result_7_doc_id</t>
  </si>
  <si>
    <t xml:space="preserve">result_8_doc_id</t>
  </si>
  <si>
    <t xml:space="preserve">result_9_doc_id</t>
  </si>
  <si>
    <t xml:space="preserve">result_10_doc_id</t>
  </si>
  <si>
    <t xml:space="preserve">Hit@1</t>
  </si>
  <si>
    <t xml:space="preserve">Hit@3</t>
  </si>
  <si>
    <t xml:space="preserve">Hit@5</t>
  </si>
  <si>
    <t xml:space="preserve">Hit@10</t>
  </si>
  <si>
    <t xml:space="preserve">Hit@1 (strict)</t>
  </si>
  <si>
    <t xml:space="preserve">Hit@3 (strict)</t>
  </si>
  <si>
    <t xml:space="preserve">Hit@5 (strict)</t>
  </si>
  <si>
    <t xml:space="preserve">Hit@10 (strict)</t>
  </si>
  <si>
    <t xml:space="preserve">expected_rank</t>
  </si>
  <si>
    <t xml:space="preserve">response_time_ms</t>
  </si>
  <si>
    <t xml:space="preserve">HR-0501</t>
  </si>
  <si>
    <t xml:space="preserve">Toàn bộ tiền mặt, tài sản quý, GTCG và các tài sản khác phải được kiểm đếm, sắp xếp và bảo quản đúng quy định trước khi nghỉ trưa</t>
  </si>
  <si>
    <t xml:space="preserve">HR-0502</t>
  </si>
  <si>
    <t xml:space="preserve">Đối với trường hợp KH tham gia gửi TGTK theo phương thức lĩnh lãi đầu kỳ, DVKH có trách nhiệm tư vấn, giải thích đầy đủ với KH các điều khoản, điều kiện tiền gửi tiết kiệm trước khi thực hiện giao dịch</t>
  </si>
  <si>
    <t xml:space="preserve">HR-0503</t>
  </si>
  <si>
    <t xml:space="preserve">Các khách hàng thuộc danh sách White List cần thực hiện điều gì khi giao dịch với TPBank</t>
  </si>
  <si>
    <t xml:space="preserve">HR-0504</t>
  </si>
  <si>
    <t xml:space="preserve">Để đảm bảo tính cập nhật và đáp ứng nhu cầu thị trường, các sản phẩm dịch vụ của TPBank phải được xem xét, sửa đổi với tần suất ra sao?</t>
  </si>
  <si>
    <t xml:space="preserve">HR-0505</t>
  </si>
  <si>
    <t xml:space="preserve">Tại thời điểm xử lý giao dịch khởi tạo hạn mức, bảo lãnh, giải ngân, cần kiểm tra tình trạng bổ sung các hồ sơ, chứng từ nợ cần hoàn thiện trên hệ thống</t>
  </si>
  <si>
    <t xml:space="preserve">HR-0506</t>
  </si>
  <si>
    <t xml:space="preserve">nguyên tắc thu nợ có được trả gốc trước k?</t>
  </si>
  <si>
    <t xml:space="preserve">HR-0507</t>
  </si>
  <si>
    <t xml:space="preserve">ra Tờ khai thông tin KH rủi ro cao phải được lưu cùng hồ sơ mở TK theo đúng quy định về mở và sử dụng TK</t>
  </si>
  <si>
    <t xml:space="preserve">HR-0508</t>
  </si>
  <si>
    <t xml:space="preserve">Khách Hàng phải hoàn tất thủ tục mua bảo hiểm mới trước khi hết hạn bảo hiểm cũ tối thiểu 01 tháng.</t>
  </si>
  <si>
    <t xml:space="preserve">HR-0509</t>
  </si>
  <si>
    <t xml:space="preserve">Gói tín dụng 500 tỷ đồng và cơ chế áp dụng đối với việc cho CBNV TPBank vay tiêu dùng hoặc vay mua bất động sản thuộc danh mục tài sản xử lý nợ, đấu giá triển khai trong năm 2026</t>
  </si>
  <si>
    <t xml:space="preserve">HR-0510</t>
  </si>
  <si>
    <t xml:space="preserve">Các KHDN mới thuộc Phân khúc Upper 2/ Bigcorp 1 do ĐVKD/IB trình cấp tín dụng theo quy định phải đăng ký khai thác KH với VP. TGĐ</t>
  </si>
  <si>
    <t xml:space="preserve">HR-0511</t>
  </si>
  <si>
    <t xml:space="preserve">Đối với chi trả TGTK chung/ TGTK có ủy quyền tất toán hoặc rút trước hạn một phần gốc/ TGTK đã chuyển nhượng: trường hợp GDV không KYC</t>
  </si>
  <si>
    <t xml:space="preserve">HR-0513</t>
  </si>
  <si>
    <t xml:space="preserve">trường hợp khoản vay có một hoặc một số kỳ hạn trả nợ bị quá hạn</t>
  </si>
  <si>
    <t xml:space="preserve">HR-0514</t>
  </si>
  <si>
    <t xml:space="preserve">Quy chế tổ chức và hoạt động của Uỷ ban Giám sát Tài sản/Nợ phải trả</t>
  </si>
  <si>
    <t xml:space="preserve">HR-0516</t>
  </si>
  <si>
    <t xml:space="preserve">TPBank có trách nhiệm gì đối với các sản phẩm, dịch vụ cung cấp cho khách hàng?</t>
  </si>
  <si>
    <t xml:space="preserve">HR-0518</t>
  </si>
  <si>
    <t xml:space="preserve">áp dụng đối với khách hàng doanh nghiệp - Trường hợp thay đổi điều kiện cấp tín dụng theo phân luồng nhanh</t>
  </si>
  <si>
    <t xml:space="preserve">HR-0519</t>
  </si>
  <si>
    <t xml:space="preserve">đề nghị thay đổi hạn mức thẻ, loại thẻ tín dụng và tài sản đảm bảo</t>
  </si>
  <si>
    <t xml:space="preserve">HR-0520</t>
  </si>
  <si>
    <t xml:space="preserve">Thoả thuận mở tài khoản thanh toán cá nhân và sử dụng dịch vụ (dành cho trường hợp mở TK có người làm chứng)</t>
  </si>
  <si>
    <t xml:space="preserve">HR-0521</t>
  </si>
  <si>
    <t xml:space="preserve">Khách hàng có quy mô vừa và BCTC có kiểm toán được phân loại mấy ?</t>
  </si>
  <si>
    <t xml:space="preserve">HR-0522</t>
  </si>
  <si>
    <t xml:space="preserve">Tờ trình Kiểm tra, phân tích, đánh giá hồ sơ KH và Đề xuất phê duyệt phát hành Thẻ tín dụng</t>
  </si>
  <si>
    <t xml:space="preserve">HR-0523</t>
  </si>
  <si>
    <t xml:space="preserve">5.9.4 Được phép giải ngân và phát hành LC nội địa mua hẳn miễn truy đòi BCT</t>
  </si>
  <si>
    <t xml:space="preserve">HR-0524</t>
  </si>
  <si>
    <t xml:space="preserve">tài khoản trả nợ không được là tài khoản trả lương</t>
  </si>
  <si>
    <t xml:space="preserve">HR-0526</t>
  </si>
  <si>
    <t xml:space="preserve">báo cáo định giá tài sản gắn liền với đất hình thành trong tương lai của dự án</t>
  </si>
  <si>
    <t xml:space="preserve">HR-0527</t>
  </si>
  <si>
    <t xml:space="preserve">Yêu cầu của cơ quan nhà nước có thẩm quyền bằng văn bản và phải được TGĐ phê duyệt</t>
  </si>
  <si>
    <t xml:space="preserve">HR-0530</t>
  </si>
  <si>
    <t xml:space="preserve">Thể lệ cơ chế hoàn phí quản lý hạn mức khi chi tiêu thẻ tín dụng Quốc tế TPBank</t>
  </si>
  <si>
    <t xml:space="preserve">HR-0531</t>
  </si>
  <si>
    <t xml:space="preserve">Thời hạn cho vay không vượt quá thời hạn cho vay còn lại của khoản vay cũ;</t>
  </si>
  <si>
    <t xml:space="preserve">HR-0532</t>
  </si>
  <si>
    <t xml:space="preserve">Dành cho Khách hàng được giảm lãi suất/phí khi tham gia bảo hiểm nhân thọ</t>
  </si>
  <si>
    <t xml:space="preserve">HR-0533</t>
  </si>
  <si>
    <t xml:space="preserve">hụ lục 07 – Quy trình cung cấp thông tin số dư/ chi trả thừa kế số dư Tài Khoản Thanh Toán cho người đại diện, người thừa kế khi chủ tài khoản chết hoặc bị tuyên bố đã chết</t>
  </si>
  <si>
    <t xml:space="preserve">HR-0534</t>
  </si>
  <si>
    <t xml:space="preserve">V/v Hướng dẫn nhận, định giá và quản lý tài sản bảo đảm là Bất động sản (T4)</t>
  </si>
  <si>
    <t xml:space="preserve">HR-0536</t>
  </si>
  <si>
    <t xml:space="preserve">Khoản Phải Thu Ngắn Hạn Khách Hàng Chậm Luân Chuyển</t>
  </si>
  <si>
    <t xml:space="preserve">HR-0537</t>
  </si>
  <si>
    <t xml:space="preserve">TỜ TRÌNH KIỂM TRA, PHÂN TÍCH, ĐÁNH GIÁ VÀ ĐỀ XUẤT CẤP HẠN MỨC TÍN DỤNG NGẮN HẠN (áp dụng đối với KH mới</t>
  </si>
  <si>
    <t xml:space="preserve">HR-0538</t>
  </si>
  <si>
    <t xml:space="preserve">cam kết thế chấp đất và CTXD trên đất không được công nhận trên GCN</t>
  </si>
  <si>
    <t xml:space="preserve">HR-0540</t>
  </si>
  <si>
    <t xml:space="preserve">HỒ SƠ KHÁCH HÀNG TỔ CHỨC LÀ NGƯỜI CƯ TRÚ XUẤT TRÌNH KHI THỰC HIỆN CÁC GIAO DỊCH TRÊN TÀI KHOẢN NGOẠI TỆ</t>
  </si>
  <si>
    <t xml:space="preserve">HR-0541</t>
  </si>
  <si>
    <t xml:space="preserve">Biểu lãi suất áp dụng với các khoản vay có tài sản bảo đảm là tiền, tài sản tương đương tiền và trái phiếu</t>
  </si>
  <si>
    <t xml:space="preserve">HR-0542</t>
  </si>
  <si>
    <t xml:space="preserve">Lãi suất cho vay cơ sở KHCN kỳ hạn tương ứng với thời hạn cho vay</t>
  </si>
  <si>
    <t xml:space="preserve">HR-0543</t>
  </si>
  <si>
    <t xml:space="preserve">Hợp đồng cầm cố tài sản để bảo đảm thực hiện nghĩa vụ của bên thứ ba (áp dụng đối với tiền gửi, tiền trên tài khoản thanh toán)</t>
  </si>
  <si>
    <t xml:space="preserve">HR-0545</t>
  </si>
  <si>
    <t xml:space="preserve">Thời hạn hiệu lực của thư bảo lãnh nhà ở hình thành trong tương lai</t>
  </si>
  <si>
    <t xml:space="preserve">HR-0546</t>
  </si>
  <si>
    <t xml:space="preserve">(hướng dẫn nhận, định giá và quản lý tài sản bảo đảm là Động sản)</t>
  </si>
  <si>
    <t xml:space="preserve">HR-0547</t>
  </si>
  <si>
    <t xml:space="preserve">Quy chế mở, sử dụng và quản lý tài khoản thanh toán của khách hàng</t>
  </si>
  <si>
    <t xml:space="preserve">HR-0548</t>
  </si>
  <si>
    <t xml:space="preserve">Trường hợp thay đổi điều kiện cấp tín dụng nhưng không làm tăng tổng giới hạn tín dụng đã cấp</t>
  </si>
  <si>
    <t xml:space="preserve">HR-0549</t>
  </si>
  <si>
    <t xml:space="preserve">trường hợp doanh nghiệp vay vốn không thực hiện nghĩa vụ tín dụng tại TPBank</t>
  </si>
  <si>
    <t xml:space="preserve">HR-0550</t>
  </si>
  <si>
    <t xml:space="preserve">Thông báo về Hướng dẫn xử lý tình huống khi bị cướp tại quầy giao dịch</t>
  </si>
  <si>
    <t xml:space="preserve">HR-0551</t>
  </si>
  <si>
    <t xml:space="preserve">TỜ TRÌNH ĐỀ XUẤT SỬA ĐỔI ĐIỀU KIỆN CẤP TÍN DỤNG (áp dụng trường hợp thay đổi điều kiện cấp tín dụng nhưng không làm tăng tổng giới hạn tín dụng đã cấp</t>
  </si>
  <si>
    <t xml:space="preserve">HR-0552</t>
  </si>
  <si>
    <t xml:space="preserve">DANH MỤC HỒ SƠ TÍN DỤNG CHO CÁC TRƯỜNG HỢP CHUNG KHÁCH HÀNG CÁ NHÂN</t>
  </si>
  <si>
    <t xml:space="preserve">HR-0553</t>
  </si>
  <si>
    <t xml:space="preserve">cho vay và nhận tài sản bảo đảm là bất động sản đối với khách hàng cá nhân</t>
  </si>
  <si>
    <t xml:space="preserve">HR-0554</t>
  </si>
  <si>
    <t xml:space="preserve">Sửa đổi Hướng dẫn mở và sử dụng tài khoản ký quỹ bảo lãnh, tài khoản ký quỹ L/C của Khách hàng tổ chức</t>
  </si>
  <si>
    <t xml:space="preserve">HR-0555</t>
  </si>
  <si>
    <t xml:space="preserve">Hướng dân nhận, định giá và quản lý tài sản bảo đảm là phương tiện 19</t>
  </si>
  <si>
    <t xml:space="preserve">HR-0559</t>
  </si>
  <si>
    <t xml:space="preserve">DANH MỤC HỒ SƠ TÍN DỤNG CHO CÁC TRƯỜNG HỢP CHUNG ĐỐI VỚI KHDN SME</t>
  </si>
  <si>
    <t xml:space="preserve">HR-0560</t>
  </si>
  <si>
    <t xml:space="preserve">dành cho trường hợp mở tài khoản thông qua Người giám hộ/ Người đại diện theo pháp</t>
  </si>
  <si>
    <t xml:space="preserve">HR-0562</t>
  </si>
  <si>
    <t xml:space="preserve">Là số tiền mặt tối đa mà Giao dịch viên tại các Đơn vị kinh doanh trên toàn hệ thống được phép giữ tại bất kỳ</t>
  </si>
  <si>
    <t xml:space="preserve">HR-0563</t>
  </si>
  <si>
    <t xml:space="preserve">Thẻ của khách hàng mở theo diện tín chấp theo sản phẩm cụ thể nên ĐVKD không thực hiện xin khai thác khách hàng theo QĐ</t>
  </si>
  <si>
    <t xml:space="preserve">HR-0565</t>
  </si>
  <si>
    <t xml:space="preserve">Áp dụng cho trường hợp sử dụng cho từng khoản cấp tín dụng cụ thể</t>
  </si>
  <si>
    <t xml:space="preserve">HR-0566</t>
  </si>
  <si>
    <t xml:space="preserve">Sự liên kết chặt chẽ giữa bộ phận tiếp xúc (Front-end) và hậu cần (Back-end)</t>
  </si>
  <si>
    <t xml:space="preserve">HR-0567</t>
  </si>
  <si>
    <t xml:space="preserve">Chỉ định cấp phê duyệt và phân công mức thẩm quyền phê duyệt miễn, giảm lãi vay, phí/phạt</t>
  </si>
  <si>
    <t xml:space="preserve">HR-0569</t>
  </si>
  <si>
    <t xml:space="preserve">2. Phụ lục 02 - Hướng dẫn hạch toán trên FCC và quy định chứng từ hạch toán (áp dụng đối với Biểu phí dịch vụ tài khoản ưu đãi dành cho khách hàng cao cấp;</t>
  </si>
  <si>
    <t xml:space="preserve">HR-0570</t>
  </si>
  <si>
    <t xml:space="preserve">Thực hiện theo Hướng dẫn Chặn Ghi Nợ/bỏ Chặn Ghi Nợ khách hàng khi phát sinh nợ quá hạn</t>
  </si>
  <si>
    <t xml:space="preserve">HR-0571</t>
  </si>
  <si>
    <t xml:space="preserve">L4 được cấp tín dụng bao nhiêu nhân viên</t>
  </si>
  <si>
    <t xml:space="preserve">HR-0572</t>
  </si>
  <si>
    <t xml:space="preserve">Sản phẩm cho vay thanh toán phí bảo hiểm vật chất xe ô tô - áp dụng trong trường hợp Khách hàng không tái tục mua bảo hiểm xe</t>
  </si>
  <si>
    <t xml:space="preserve">HR-0573</t>
  </si>
  <si>
    <t xml:space="preserve">Tờ trình kiểm tra, phân tích, đánh giá khoản cấp tín dụng KHCN có tài sản bảo đảm</t>
  </si>
  <si>
    <t xml:space="preserve">HR-0574</t>
  </si>
  <si>
    <t xml:space="preserve">báo cáo định giá áp dụng đối với tài sản là hợp đồng tiền gửi</t>
  </si>
  <si>
    <t xml:space="preserve">HR-0575</t>
  </si>
  <si>
    <t xml:space="preserve">Chỉ định Chuyên gia kiểm soát tín dụng cấp D và phân công mức thẩm quyền kiểm soát tín dụng đối với ông Huỳnh Văn Phương</t>
  </si>
  <si>
    <t xml:space="preserve">HR-0576</t>
  </si>
  <si>
    <t xml:space="preserve">Tờ trình về việc kiểm tra hồ sơ khách hàng và đề xuất phê duyệt phát hành thẻ tín dụng cho phân khúc khách hàng cá nhân cao cấp</t>
  </si>
  <si>
    <t xml:space="preserve">HR-0578</t>
  </si>
  <si>
    <t xml:space="preserve">Truyền thông về Hướng dẫn Triển khai Thử nghiệm mô hình dự án phát triển phần mềm</t>
  </si>
  <si>
    <t xml:space="preserve">HR-0579</t>
  </si>
  <si>
    <t xml:space="preserve">điều kiện và điều khoản sử dụng tài khoản thanh toán của khách hàng tổ chức</t>
  </si>
  <si>
    <t xml:space="preserve">HR-0580</t>
  </si>
  <si>
    <t xml:space="preserve">Phòng Tác nghiệp giao dịch Nguồn vốn, Thị trường tiền tệ, Đầu tư và lưu ký</t>
  </si>
  <si>
    <t xml:space="preserve">HR-0582</t>
  </si>
  <si>
    <t xml:space="preserve">Điều kiện Điều khoản mở và sử dụng tài khoản thanh toán khách hàng tổ chức tại TPBank</t>
  </si>
  <si>
    <t xml:space="preserve">HR-0583</t>
  </si>
  <si>
    <t xml:space="preserve">Thỏa thuận mở, sử dụng tài khoản thanh toán và dịch vụ đi kèm của KH tổ chức</t>
  </si>
  <si>
    <t xml:space="preserve">HR-0584</t>
  </si>
  <si>
    <t xml:space="preserve">V/v Chỉ định chuyên gia phê duyệt tín dụng và phân công mức thẩm quyền phê duyệt tín dụng đối với ông Hoàng</t>
  </si>
  <si>
    <t xml:space="preserve">HR-0586</t>
  </si>
  <si>
    <t xml:space="preserve">Bảo lãnh thực hiện trách nhiệm Môi trường, Xã hội, Sức khỏe và An toàn</t>
  </si>
  <si>
    <t xml:space="preserve">HR-0587</t>
  </si>
  <si>
    <t xml:space="preserve">Điều kiện và Điều khoản mở và sử dụng tài khoản thanh toán dành cho khách hàng cá nhân;</t>
  </si>
  <si>
    <t xml:space="preserve">HR-0588</t>
  </si>
  <si>
    <t xml:space="preserve">(áp dụng cấp tín dụng từng lần, Luồng thẩm định và phê duyệt tự động/Luồng F)</t>
  </si>
  <si>
    <t xml:space="preserve">HR-0589</t>
  </si>
  <si>
    <t xml:space="preserve">hưhướng dẫn về nhận, thẩm định, quản lý tài sản bảo đảm của TPBank từng thời kỳ</t>
  </si>
  <si>
    <t xml:space="preserve">HR-0590</t>
  </si>
  <si>
    <t xml:space="preserve">Giấy đề nghị tra soát, khiếu nại tài khoản thanh toán của Khách hàng tổ chức</t>
  </si>
  <si>
    <t xml:space="preserve">HR-0591</t>
  </si>
  <si>
    <t xml:space="preserve">Hướng dẫn về nhận, thẩm định và quản lý tài sản bảo đảm là Bất động sản (T4)</t>
  </si>
  <si>
    <t xml:space="preserve">HR-0592</t>
  </si>
  <si>
    <t xml:space="preserve">vay cầm cố Tiền gửi, Trái phiếu Tier2, Vàng dành cho khách hàng cá nhân</t>
  </si>
  <si>
    <t xml:space="preserve">HR-0593</t>
  </si>
  <si>
    <t xml:space="preserve">V/v Chỉ định Chuyên gia kiểm soát tín dụng cấp D và phân công mức thẩm quyền kiểm soát tín dụng đối với ông BÙI THẾ KHUYÊN</t>
  </si>
  <si>
    <t xml:space="preserve">HR-0596</t>
  </si>
  <si>
    <t xml:space="preserve">Trả lời tra soát, khiếu nại sử dụng tài khoản thanh toán cho khách hàng tổ chức</t>
  </si>
  <si>
    <t xml:space="preserve">HR-0598</t>
  </si>
  <si>
    <t xml:space="preserve">Đề nghị kiêm hợp đồng cấp bảo lãnh theo món (áp dụng trong trường hợp KH có nhu cầu phát hành một bảo lãnh trên một đề nghị)</t>
  </si>
  <si>
    <t xml:space="preserve">HR-0599</t>
  </si>
  <si>
    <t xml:space="preserve">Biểu lãi suất cho vay áp dụng đối với các khoản vay của khách hàng là</t>
  </si>
  <si>
    <t xml:space="preserve">HR-0600</t>
  </si>
  <si>
    <t xml:space="preserve">Quy chế nhận, thẩm định và quản lý tài sản bảo đảm là phương tiện vận tải</t>
  </si>
  <si>
    <t xml:space="preserve">HR-0603</t>
  </si>
  <si>
    <t xml:space="preserve">Chương trình khuyến mại dành cho khách hàng cá nhân mở mới, gia hạn Thẻ tín dụng</t>
  </si>
  <si>
    <t xml:space="preserve">HR-0605</t>
  </si>
  <si>
    <t xml:space="preserve">thẻ tín dụng quốc tế dành cho khách hàng cá nhân đối với nhóm khách hàng</t>
  </si>
  <si>
    <t xml:space="preserve">HR-0607</t>
  </si>
  <si>
    <t xml:space="preserve">Điều kiện, điều khoản cho vay không tài sản bảo đảm dành cho khách hàng cá nhân</t>
  </si>
  <si>
    <t xml:space="preserve">HR-0608</t>
  </si>
  <si>
    <t xml:space="preserve">LÃI SUẤT cho vay DÀNH CHO KHÁCH HÀNG CÁ NHÂN CÓ TÀI SẢN BẢO ĐẢM</t>
  </si>
  <si>
    <t xml:space="preserve">HR-0609</t>
  </si>
  <si>
    <t xml:space="preserve">Sản phẩm Cho Vay Không Có Tài Sản Bảo Đảm Đối Với Khách Hàng Cá Nhân</t>
  </si>
  <si>
    <t xml:space="preserve">HR-0611</t>
  </si>
  <si>
    <t xml:space="preserve">Giấy ủy quyền sử dụng Tài khoản thanh toán (áp dụng cho Khách hàng tổ chức)</t>
  </si>
  <si>
    <t xml:space="preserve">HR-0612</t>
  </si>
  <si>
    <t xml:space="preserve">Theo quy định về nhận, thẩm định và quản lý tài sản bảo đảm của TPBank</t>
  </si>
  <si>
    <t xml:space="preserve">HR-0613</t>
  </si>
  <si>
    <t xml:space="preserve">biểu lãi suất áp dụng với các khoản vay không có tài sản bảo đảm</t>
  </si>
  <si>
    <t xml:space="preserve">HR-0615</t>
  </si>
  <si>
    <t xml:space="preserve">hướng dẫn kiểm tra, danh mục chứng từ và quy định chứng minh nguồn tiền khi thực hiện giao dịch bán ngoại tệ tiền mặt cho khách hàng cá nhận tại quầy giao dịch</t>
  </si>
  <si>
    <t xml:space="preserve">HR-0617</t>
  </si>
  <si>
    <t xml:space="preserve">Khách hàng có nhu cầu nhận tiền từ nước ngoài về tại Ngân hàng Tiên Phong cần cung cấp cho người chuyển tiền những thông tin sau</t>
  </si>
  <si>
    <t xml:space="preserve">HR-0618</t>
  </si>
  <si>
    <t xml:space="preserve">Thực hiện theo Quy định theo dõi, giám sát và xử lý nợ có vấn đề đối với Khách hàng cá nhân</t>
  </si>
  <si>
    <t xml:space="preserve">HR-0620</t>
  </si>
  <si>
    <t xml:space="preserve">biểu lãi suất áp dụng các khoản vay có tài sản bảo đảm là tiền</t>
  </si>
  <si>
    <t xml:space="preserve">HR-0621</t>
  </si>
  <si>
    <t xml:space="preserve">Sản phẩm mua, bán ngoại tệ tại quầy giao dịch dành cho khách hàng cá nhân”</t>
  </si>
  <si>
    <t xml:space="preserve">HR-0623</t>
  </si>
  <si>
    <t xml:space="preserve">Bản kê khai chi phí (V/v Sinh hoạt phí cho du học sinh/trợ cấp thân nhân)</t>
  </si>
  <si>
    <t xml:space="preserve">HR-0625</t>
  </si>
  <si>
    <t xml:space="preserve">điều kiện, điều khoản mở và sử dụng tài khoản thanh toán</t>
  </si>
  <si>
    <t xml:space="preserve">HR-0626</t>
  </si>
  <si>
    <t xml:space="preserve">1.152.150.000 VNĐ (Bằng chữ: Một tỷ một trăm năm mươi hai triệu một trăm năm mươi nghìn đồng chẵn./.)</t>
  </si>
  <si>
    <t xml:space="preserve">HR-0629</t>
  </si>
  <si>
    <t xml:space="preserve">xây dựng, ban hành, giám sát và kiểm định mô hình rủi ro tín dụng</t>
  </si>
  <si>
    <t xml:space="preserve">HR-0630</t>
  </si>
  <si>
    <t xml:space="preserve">Trả nợ trước hạn trong khoảng thời gian 1/3 thời hạn cho vay đã thỏa thuận trong Hợp đồng tín dụng</t>
  </si>
  <si>
    <t xml:space="preserve">HR-0631</t>
  </si>
  <si>
    <t xml:space="preserve">Lãi suất cho vay cơ sở VND và USD áp dụng đối với Khách hàng Doanh nghiệp</t>
  </si>
  <si>
    <t xml:space="preserve">HR-0633</t>
  </si>
  <si>
    <t xml:space="preserve">thỏa thuận mở, sử dụng tài khoản thanh toán và dịch vụ đi kèm dành cho</t>
  </si>
  <si>
    <t xml:space="preserve">HR-0634</t>
  </si>
  <si>
    <t xml:space="preserve">TSBĐ nhận theo Quy chế chung về nhận, thẩm định và quản lý tài sản bảo đảm</t>
  </si>
  <si>
    <t xml:space="preserve">HR-0635</t>
  </si>
  <si>
    <t xml:space="preserve">tổng dư nợ cấp tín dụng đối với 1 khách hàng</t>
  </si>
  <si>
    <t xml:space="preserve">HR-0639</t>
  </si>
  <si>
    <t xml:space="preserve">Sản phẩm cho vay cầm cố tiền gửi, trái phiếu, vàng dành cho khách hàng cá nhân</t>
  </si>
  <si>
    <t xml:space="preserve">HR-0641</t>
  </si>
  <si>
    <t xml:space="preserve">Tối đa 1% doanh thu khai thuế 12 tháng/4 quý gần nhất tính đến thời điểm xét duyệt cấp HMTD thẻ nhưng không vượt quá 3 tỷ đồng/KH</t>
  </si>
  <si>
    <t xml:space="preserve">HR-0644</t>
  </si>
  <si>
    <t xml:space="preserve">hỉ định Chuyên gia kiểm soát tín dụng cấp D và phân công mức thẩm quyền kiểm soát</t>
  </si>
  <si>
    <t xml:space="preserve">HR-0645</t>
  </si>
  <si>
    <t xml:space="preserve">ĐỀ NGHỊ HỖ TRỢ CƠ CẤU LẠI THỜI HẠN TRẢ NỢ KIÊM PHỤ LỤC HỢP ĐỒNG TÍN DỤNG</t>
  </si>
  <si>
    <t xml:space="preserve">HR-0648</t>
  </si>
  <si>
    <t xml:space="preserve">Biểu lãi suất áp dụng với các khoản vay có tài sản bảo đảm dành cho KHCN</t>
  </si>
  <si>
    <t xml:space="preserve">HR-0649</t>
  </si>
  <si>
    <t xml:space="preserve">Điều kiện Điều khoản Phát hành và Sử dụng Thẻ tín dụng TPBank thanh toán qua SPayLater trên Ứng dụng Shopee</t>
  </si>
  <si>
    <t xml:space="preserve">HR-0650</t>
  </si>
  <si>
    <t xml:space="preserve">ĐỀ NGHỊ VAY VỐN (áp dụng với khoản vay có tài sản bảo đảm dành cho KHCN)</t>
  </si>
  <si>
    <t xml:space="preserve">HR-0651</t>
  </si>
  <si>
    <t xml:space="preserve">Hợp đồng cung cấp dịch vụ Quản lý tài khoản thanh toán theo nhu cầu của khách hàng</t>
  </si>
  <si>
    <t xml:space="preserve">HR-0654</t>
  </si>
  <si>
    <t xml:space="preserve">Trả lời tra soát, khiếu nại cho KH sử dụng tài khoản thanh toán (tiếng Việt)</t>
  </si>
  <si>
    <t xml:space="preserve">HR-0655</t>
  </si>
  <si>
    <t xml:space="preserve">giấy đăng ký kiêm hợp đồng phát hành thẻ ghi nợ quốc tế cho khách hàng tổ chức</t>
  </si>
  <si>
    <t xml:space="preserve">HR-0656</t>
  </si>
  <si>
    <t xml:space="preserve">Quản lý Rủi Ro Tín Dụng đối với khách hàng là Tổ Chức Tín Dụng</t>
  </si>
  <si>
    <t xml:space="preserve">HR-0660</t>
  </si>
  <si>
    <t xml:space="preserve">Tờ trình đề xuất cấp hạn mức dành cho KHCN không có Tài sản bảo đảm</t>
  </si>
  <si>
    <t xml:space="preserve">HR-0664</t>
  </si>
  <si>
    <t xml:space="preserve">Ban hành Biểu lãi suất cho vay áp dụng đối với Khách hàng Doanh nghiệp</t>
  </si>
  <si>
    <t xml:space="preserve">HR-0665</t>
  </si>
  <si>
    <t xml:space="preserve">Trường hợp KH muốn sử dụng QĐN vượt phần giá trị thực hiện hợp đồng phân chia trong thỏa thuận liên danh</t>
  </si>
  <si>
    <t xml:space="preserve">HR-0667</t>
  </si>
  <si>
    <t xml:space="preserve">Phân luồng xử lý các khoản vay có tài sản bảo đảm là ô tô phát sinh nợ quá hạn ̣</t>
  </si>
  <si>
    <t xml:space="preserve">HR-0668</t>
  </si>
  <si>
    <t xml:space="preserve">biểu phí dịch vụ tài khoản tiền gửi dành cho khách hàng cá nhân</t>
  </si>
  <si>
    <t xml:space="preserve">HR-0669</t>
  </si>
  <si>
    <t xml:space="preserve">Sản phẩm Tài Khoản ký quỹ theo yêu cầu dành cho Khách hàng tổ chức</t>
  </si>
  <si>
    <t xml:space="preserve">HR-0670</t>
  </si>
  <si>
    <t xml:space="preserve">Điều 3. LÃI SUẤT, CÁC LOẠI PHÍ VÀ CÁCH TÍNH</t>
  </si>
  <si>
    <t xml:space="preserve">HR-0671</t>
  </si>
  <si>
    <t xml:space="preserve">Áp dụng theo Phụ lục 17 – Nguyên tắc kiểm tra, đánh giá và phê duyệt nguyên tắc của hệ thống TPBank Partner cho khoản vay mua ô tô</t>
  </si>
  <si>
    <t xml:space="preserve">HR-0672</t>
  </si>
  <si>
    <t xml:space="preserve">BM16. Danh mục hồ sơ tín dụng bắt buộc - nghiệp vụ cấp HMTD đối với KHDN SME</t>
  </si>
  <si>
    <t xml:space="preserve">HR-0674</t>
  </si>
  <si>
    <t xml:space="preserve">Chương trình ưu đãi lãi suất dành cho KHCN vay tiêu dùng có tài sản bảo đảm</t>
  </si>
  <si>
    <t xml:space="preserve">HR-0675</t>
  </si>
  <si>
    <t xml:space="preserve">hồ sơ, chứng từ chứng minh mục đích sử dụng theo quy định của Pháp lệnh ngoại hối</t>
  </si>
  <si>
    <t xml:space="preserve">HR-0677</t>
  </si>
  <si>
    <t xml:space="preserve">Hướng dẫn nhận, thẩm định và quản lý tài sản bảo đảm là khoản phải thu</t>
  </si>
  <si>
    <t xml:space="preserve">HR-0678</t>
  </si>
  <si>
    <t xml:space="preserve">Thẩm quyền phê duyệt giảm/miễn phí trả nợ trước hạn Giám đốc</t>
  </si>
  <si>
    <t xml:space="preserve">HR-0679</t>
  </si>
  <si>
    <t xml:space="preserve">Danh mục hồ sơ chứng minh mục đích phát hành bảo lãnh - Sản phẩm bảo lãnh Dành cho Khách hàng doanh nghiệp và Khách hàng cá nhân</t>
  </si>
  <si>
    <t xml:space="preserve">HR-0680</t>
  </si>
  <si>
    <t xml:space="preserve">tờ trình kiểm tra phân tích đánh giá hồ sơ khách hàng và đề xuất</t>
  </si>
  <si>
    <t xml:space="preserve">HR-0682</t>
  </si>
  <si>
    <t xml:space="preserve">danh sách phân loại rủi ro quốc gia trong hoạt động cấp hạn mức giao dịch đối với Tổ chức tín dụng nước ngoài</t>
  </si>
  <si>
    <t xml:space="preserve">HR-0683</t>
  </si>
  <si>
    <t xml:space="preserve">Cấp phê duyệt tại ĐVKD xác nhận đủ thẩm quyền phê duyệt tín dụng theo sản phẩm</t>
  </si>
  <si>
    <t xml:space="preserve">HR-0686</t>
  </si>
  <si>
    <t xml:space="preserve">Sản phẩm chiết khấu bộ chứng từ xuất khẩu theo phương thức thư tín dụng, nhờ thu</t>
  </si>
  <si>
    <t xml:space="preserve">HR-0692</t>
  </si>
  <si>
    <t xml:space="preserve">Điều 3. LÃI SUẤT, CÁC LOẠI PHÍ VÀ CÁCH TÍNH 2. Các loại Phí áp dụng và cách tính: c) Các loại phí khác (nếu có) theo quy định của NH</t>
  </si>
  <si>
    <t xml:space="preserve">HR-0693</t>
  </si>
  <si>
    <t xml:space="preserve">SẢN PHẨM CHO VAY KHÔNG CÓ TÀI SẢN BẢO ĐẢM DÀNH CHO KHÁCH HÀNG doanh nghiệp</t>
  </si>
  <si>
    <t xml:space="preserve">HR-0695</t>
  </si>
  <si>
    <t xml:space="preserve">pl01 - Biểu lãi suất cho vay áp dụng đối với Khách hàng cá nhân</t>
  </si>
  <si>
    <t xml:space="preserve">HR-0696</t>
  </si>
  <si>
    <t xml:space="preserve">danh mục hồ sơ tín dụng bắt buộc nghiệp vụ dành cho khách hàng cá nhân</t>
  </si>
  <si>
    <t xml:space="preserve">HR-0698</t>
  </si>
  <si>
    <t xml:space="preserve">Sản phẩm cho vay mua, nhận chuyển nhượng, xây dựng và sửa chữa bất động sản</t>
  </si>
  <si>
    <t xml:space="preserve">Hit rate</t>
  </si>
</sst>
</file>

<file path=xl/styles.xml><?xml version="1.0" encoding="utf-8"?>
<styleSheet xmlns="http://schemas.openxmlformats.org/spreadsheetml/2006/main">
  <numFmts count="2">
    <numFmt numFmtId="164" formatCode="General"/>
    <numFmt numFmtId="165" formatCode="0.0%"/>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1"/>
      <name val="Cambria"/>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60"/>
    <col collapsed="false" customWidth="true" hidden="false" outlineLevel="0" max="32" min="3" style="0" width="12"/>
  </cols>
  <sheetData>
    <row r="1" customFormat="false" ht="28.3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ustomFormat="false" ht="15" hidden="false" customHeight="false" outlineLevel="0" collapsed="false">
      <c r="A2" s="0" t="s">
        <v>32</v>
      </c>
      <c r="B2" s="0" t="s">
        <v>33</v>
      </c>
      <c r="C2" s="0" t="n">
        <v>4249</v>
      </c>
      <c r="D2" s="0" t="n">
        <v>68479</v>
      </c>
      <c r="E2" s="0" t="n">
        <v>21391</v>
      </c>
      <c r="F2" s="0" t="n">
        <v>9747</v>
      </c>
      <c r="G2" s="0" t="n">
        <v>68478</v>
      </c>
      <c r="H2" s="0" t="n">
        <v>21390</v>
      </c>
      <c r="I2" s="0" t="n">
        <v>68471</v>
      </c>
      <c r="J2" s="0" t="n">
        <v>157584</v>
      </c>
      <c r="K2" s="0" t="n">
        <v>10548</v>
      </c>
      <c r="L2" s="0" t="n">
        <v>4254</v>
      </c>
      <c r="M2" s="0" t="n">
        <v>4169</v>
      </c>
      <c r="N2" s="0" t="n">
        <v>13035</v>
      </c>
      <c r="O2" s="0" t="n">
        <v>179259</v>
      </c>
      <c r="P2" s="0" t="n">
        <v>16380</v>
      </c>
      <c r="Q2" s="0" t="n">
        <v>153576</v>
      </c>
      <c r="R2" s="0" t="n">
        <v>154137</v>
      </c>
      <c r="S2" s="0" t="n">
        <v>153574</v>
      </c>
      <c r="T2" s="0" t="n">
        <v>10548</v>
      </c>
      <c r="U2" s="0" t="n">
        <v>153171</v>
      </c>
      <c r="V2" s="0" t="n">
        <v>100840</v>
      </c>
      <c r="W2" s="0" t="n">
        <f aca="false">IF(SUMPRODUCT(COUNTIF($C2:$L2,M2:M2))&gt;0,1,0)</f>
        <v>0</v>
      </c>
      <c r="X2" s="0" t="n">
        <f aca="false">IF(SUMPRODUCT(COUNTIF($C2:$L2,M2:O2))&gt;0,1,0)</f>
        <v>0</v>
      </c>
      <c r="Y2" s="0" t="n">
        <f aca="false">IF(SUMPRODUCT(COUNTIF($C2:$L2,M2:Q2))&gt;0,1,0)</f>
        <v>0</v>
      </c>
      <c r="Z2" s="0" t="n">
        <f aca="false">IF(SUMPRODUCT(COUNTIF($C2:$L2,M2:V2))&gt;0,1,0)</f>
        <v>1</v>
      </c>
      <c r="AA2" s="0" t="n">
        <f aca="false">IF(COUNTIF(M2:M2,$C2)&gt;0,1,0)</f>
        <v>0</v>
      </c>
      <c r="AB2" s="0" t="n">
        <f aca="false">IF(COUNTIF(M2:O2,$C2)&gt;0,1,0)</f>
        <v>0</v>
      </c>
      <c r="AC2" s="0" t="n">
        <f aca="false">IF(COUNTIF(M2:Q2,$C2)&gt;0,1,0)</f>
        <v>0</v>
      </c>
      <c r="AD2" s="0" t="n">
        <f aca="false">IF(COUNTIF(M2:V2,$C2)&gt;0,1,0)</f>
        <v>0</v>
      </c>
      <c r="AE2" s="0" t="n">
        <f aca="false">IFERROR(MATCH(1,INDEX(--(COUNTIF($C2:$L2,M2:V2)&gt;0),0),0),"")</f>
        <v>8</v>
      </c>
      <c r="AF2" s="0" t="n">
        <v>1968</v>
      </c>
    </row>
    <row r="3" customFormat="false" ht="15" hidden="false" customHeight="false" outlineLevel="0" collapsed="false">
      <c r="A3" s="0" t="s">
        <v>34</v>
      </c>
      <c r="B3" s="0" t="s">
        <v>35</v>
      </c>
      <c r="C3" s="0" t="n">
        <v>139139</v>
      </c>
      <c r="D3" s="0" t="n">
        <v>82745</v>
      </c>
      <c r="E3" s="0" t="n">
        <v>177275</v>
      </c>
      <c r="F3" s="0" t="n">
        <v>120482</v>
      </c>
      <c r="G3" s="0" t="n">
        <v>139138</v>
      </c>
      <c r="H3" s="0" t="n">
        <v>139136</v>
      </c>
      <c r="I3" s="0" t="n">
        <v>31938</v>
      </c>
      <c r="J3" s="0" t="n">
        <v>11969</v>
      </c>
      <c r="K3" s="0" t="n">
        <v>199281</v>
      </c>
      <c r="L3" s="0" t="n">
        <v>132876</v>
      </c>
      <c r="M3" s="0" t="n">
        <v>11969</v>
      </c>
      <c r="N3" s="0" t="n">
        <v>13851</v>
      </c>
      <c r="O3" s="0" t="n">
        <v>139129</v>
      </c>
      <c r="P3" s="0" t="n">
        <v>124200</v>
      </c>
      <c r="Q3" s="0" t="n">
        <v>82929</v>
      </c>
      <c r="R3" s="0" t="n">
        <v>82745</v>
      </c>
      <c r="S3" s="0" t="n">
        <v>139139</v>
      </c>
      <c r="T3" s="0" t="n">
        <v>123889</v>
      </c>
      <c r="U3" s="0" t="n">
        <v>163875</v>
      </c>
      <c r="V3" s="0" t="n">
        <v>59285</v>
      </c>
      <c r="W3" s="0" t="n">
        <f aca="false">IF(SUMPRODUCT(COUNTIF($C3:$L3,M3:M3))&gt;0,1,0)</f>
        <v>1</v>
      </c>
      <c r="X3" s="0" t="n">
        <f aca="false">IF(SUMPRODUCT(COUNTIF($C3:$L3,M3:O3))&gt;0,1,0)</f>
        <v>1</v>
      </c>
      <c r="Y3" s="0" t="n">
        <f aca="false">IF(SUMPRODUCT(COUNTIF($C3:$L3,M3:Q3))&gt;0,1,0)</f>
        <v>1</v>
      </c>
      <c r="Z3" s="0" t="n">
        <f aca="false">IF(SUMPRODUCT(COUNTIF($C3:$L3,M3:V3))&gt;0,1,0)</f>
        <v>1</v>
      </c>
      <c r="AA3" s="0" t="n">
        <f aca="false">IF(COUNTIF(M3:M3,$C3)&gt;0,1,0)</f>
        <v>0</v>
      </c>
      <c r="AB3" s="0" t="n">
        <f aca="false">IF(COUNTIF(M3:O3,$C3)&gt;0,1,0)</f>
        <v>0</v>
      </c>
      <c r="AC3" s="0" t="n">
        <f aca="false">IF(COUNTIF(M3:Q3,$C3)&gt;0,1,0)</f>
        <v>0</v>
      </c>
      <c r="AD3" s="0" t="n">
        <f aca="false">IF(COUNTIF(M3:V3,$C3)&gt;0,1,0)</f>
        <v>1</v>
      </c>
      <c r="AE3" s="0" t="n">
        <f aca="false">IFERROR(MATCH(1,INDEX(--(COUNTIF($C3:$L3,M3:V3)&gt;0),0),0),"")</f>
        <v>1</v>
      </c>
      <c r="AF3" s="0" t="n">
        <v>11053</v>
      </c>
    </row>
    <row r="4" customFormat="false" ht="15" hidden="false" customHeight="false" outlineLevel="0" collapsed="false">
      <c r="A4" s="0" t="s">
        <v>36</v>
      </c>
      <c r="B4" s="0" t="s">
        <v>37</v>
      </c>
      <c r="C4" s="0" t="n">
        <v>157938</v>
      </c>
      <c r="D4" s="0" t="n">
        <v>157726</v>
      </c>
      <c r="E4" s="0" t="n">
        <v>157727</v>
      </c>
      <c r="F4" s="0" t="n">
        <v>139972</v>
      </c>
      <c r="G4" s="0" t="n">
        <v>35718</v>
      </c>
      <c r="H4" s="0" t="n">
        <v>160606</v>
      </c>
      <c r="I4" s="0" t="n">
        <v>166476</v>
      </c>
      <c r="J4" s="0" t="n">
        <v>6327</v>
      </c>
      <c r="K4" s="0" t="n">
        <v>121524</v>
      </c>
      <c r="L4" s="0" t="n">
        <v>167863</v>
      </c>
      <c r="M4" s="0" t="n">
        <v>35718</v>
      </c>
      <c r="N4" s="0" t="n">
        <v>157726</v>
      </c>
      <c r="O4" s="0" t="n">
        <v>145436</v>
      </c>
      <c r="P4" s="0" t="n">
        <v>157727</v>
      </c>
      <c r="Q4" s="0" t="n">
        <v>172452</v>
      </c>
      <c r="R4" s="0" t="n">
        <v>134681</v>
      </c>
      <c r="S4" s="0" t="n">
        <v>134683</v>
      </c>
      <c r="T4" s="0" t="n">
        <v>181527</v>
      </c>
      <c r="U4" s="0" t="n">
        <v>48388</v>
      </c>
      <c r="V4" s="0" t="n">
        <v>65097</v>
      </c>
      <c r="W4" s="0" t="n">
        <f aca="false">IF(SUMPRODUCT(COUNTIF($C4:$L4,M4:M4))&gt;0,1,0)</f>
        <v>1</v>
      </c>
      <c r="X4" s="0" t="n">
        <f aca="false">IF(SUMPRODUCT(COUNTIF($C4:$L4,M4:O4))&gt;0,1,0)</f>
        <v>1</v>
      </c>
      <c r="Y4" s="0" t="n">
        <f aca="false">IF(SUMPRODUCT(COUNTIF($C4:$L4,M4:Q4))&gt;0,1,0)</f>
        <v>1</v>
      </c>
      <c r="Z4" s="0" t="n">
        <f aca="false">IF(SUMPRODUCT(COUNTIF($C4:$L4,M4:V4))&gt;0,1,0)</f>
        <v>1</v>
      </c>
      <c r="AA4" s="0" t="n">
        <f aca="false">IF(COUNTIF(M4:M4,$C4)&gt;0,1,0)</f>
        <v>0</v>
      </c>
      <c r="AB4" s="0" t="n">
        <f aca="false">IF(COUNTIF(M4:O4,$C4)&gt;0,1,0)</f>
        <v>0</v>
      </c>
      <c r="AC4" s="0" t="n">
        <f aca="false">IF(COUNTIF(M4:Q4,$C4)&gt;0,1,0)</f>
        <v>0</v>
      </c>
      <c r="AD4" s="0" t="n">
        <f aca="false">IF(COUNTIF(M4:V4,$C4)&gt;0,1,0)</f>
        <v>0</v>
      </c>
      <c r="AE4" s="0" t="n">
        <f aca="false">IFERROR(MATCH(1,INDEX(--(COUNTIF($C4:$L4,M4:V4)&gt;0),0),0),"")</f>
        <v>1</v>
      </c>
      <c r="AF4" s="0" t="n">
        <v>3085</v>
      </c>
    </row>
    <row r="5" customFormat="false" ht="15" hidden="false" customHeight="false" outlineLevel="0" collapsed="false">
      <c r="A5" s="0" t="s">
        <v>38</v>
      </c>
      <c r="B5" s="0" t="s">
        <v>39</v>
      </c>
      <c r="C5" s="0" t="n">
        <v>12479</v>
      </c>
      <c r="D5" s="0" t="n">
        <v>185625</v>
      </c>
      <c r="E5" s="0" t="n">
        <v>172923</v>
      </c>
      <c r="F5" s="0" t="n">
        <v>132576</v>
      </c>
      <c r="G5" s="0" t="n">
        <v>39583</v>
      </c>
      <c r="H5" s="0" t="n">
        <v>22992</v>
      </c>
      <c r="I5" s="0" t="n">
        <v>179026</v>
      </c>
      <c r="J5" s="0" t="n">
        <v>140706</v>
      </c>
      <c r="K5" s="0" t="n">
        <v>78125</v>
      </c>
      <c r="L5" s="0" t="n">
        <v>39201</v>
      </c>
      <c r="M5" s="0" t="n">
        <v>22992</v>
      </c>
      <c r="N5" s="0" t="n">
        <v>185623</v>
      </c>
      <c r="O5" s="0" t="n">
        <v>12479</v>
      </c>
      <c r="P5" s="0" t="n">
        <v>100518</v>
      </c>
      <c r="Q5" s="0" t="n">
        <v>101923</v>
      </c>
      <c r="R5" s="0" t="n">
        <v>67166</v>
      </c>
      <c r="S5" s="0" t="n">
        <v>126754</v>
      </c>
      <c r="T5" s="0" t="n">
        <v>18336</v>
      </c>
      <c r="U5" s="0" t="n">
        <v>33943</v>
      </c>
      <c r="V5" s="0" t="n">
        <v>35257</v>
      </c>
      <c r="W5" s="0" t="n">
        <f aca="false">IF(SUMPRODUCT(COUNTIF($C5:$L5,M5:M5))&gt;0,1,0)</f>
        <v>1</v>
      </c>
      <c r="X5" s="0" t="n">
        <f aca="false">IF(SUMPRODUCT(COUNTIF($C5:$L5,M5:O5))&gt;0,1,0)</f>
        <v>1</v>
      </c>
      <c r="Y5" s="0" t="n">
        <f aca="false">IF(SUMPRODUCT(COUNTIF($C5:$L5,M5:Q5))&gt;0,1,0)</f>
        <v>1</v>
      </c>
      <c r="Z5" s="0" t="n">
        <f aca="false">IF(SUMPRODUCT(COUNTIF($C5:$L5,M5:V5))&gt;0,1,0)</f>
        <v>1</v>
      </c>
      <c r="AA5" s="0" t="n">
        <f aca="false">IF(COUNTIF(M5:M5,$C5)&gt;0,1,0)</f>
        <v>0</v>
      </c>
      <c r="AB5" s="0" t="n">
        <f aca="false">IF(COUNTIF(M5:O5,$C5)&gt;0,1,0)</f>
        <v>1</v>
      </c>
      <c r="AC5" s="0" t="n">
        <f aca="false">IF(COUNTIF(M5:Q5,$C5)&gt;0,1,0)</f>
        <v>1</v>
      </c>
      <c r="AD5" s="0" t="n">
        <f aca="false">IF(COUNTIF(M5:V5,$C5)&gt;0,1,0)</f>
        <v>1</v>
      </c>
      <c r="AE5" s="0" t="n">
        <f aca="false">IFERROR(MATCH(1,INDEX(--(COUNTIF($C5:$L5,M5:V5)&gt;0),0),0),"")</f>
        <v>1</v>
      </c>
      <c r="AF5" s="0" t="n">
        <v>4887</v>
      </c>
    </row>
    <row r="6" customFormat="false" ht="15" hidden="false" customHeight="false" outlineLevel="0" collapsed="false">
      <c r="A6" s="0" t="s">
        <v>40</v>
      </c>
      <c r="B6" s="0" t="s">
        <v>41</v>
      </c>
      <c r="C6" s="0" t="n">
        <v>43844</v>
      </c>
      <c r="D6" s="0" t="n">
        <v>33128</v>
      </c>
      <c r="E6" s="0" t="n">
        <v>172564</v>
      </c>
      <c r="F6" s="0" t="n">
        <v>148162</v>
      </c>
      <c r="G6" s="0" t="n">
        <v>118857</v>
      </c>
      <c r="H6" s="0" t="n">
        <v>139974</v>
      </c>
      <c r="I6" s="0" t="n">
        <v>118861</v>
      </c>
      <c r="J6" s="0" t="n">
        <v>103809</v>
      </c>
      <c r="K6" s="0" t="n">
        <v>39590</v>
      </c>
      <c r="L6" s="0" t="n">
        <v>172487</v>
      </c>
      <c r="M6" s="0" t="n">
        <v>172487</v>
      </c>
      <c r="N6" s="0" t="n">
        <v>118857</v>
      </c>
      <c r="O6" s="0" t="n">
        <v>118861</v>
      </c>
      <c r="P6" s="0" t="n">
        <v>139974</v>
      </c>
      <c r="Q6" s="0" t="n">
        <v>150662</v>
      </c>
      <c r="R6" s="0" t="n">
        <v>33128</v>
      </c>
      <c r="S6" s="0" t="n">
        <v>64754</v>
      </c>
      <c r="T6" s="0" t="n">
        <v>43853</v>
      </c>
      <c r="U6" s="0" t="n">
        <v>24076</v>
      </c>
      <c r="V6" s="0" t="n">
        <v>166467</v>
      </c>
      <c r="W6" s="0" t="n">
        <f aca="false">IF(SUMPRODUCT(COUNTIF($C6:$L6,M6:M6))&gt;0,1,0)</f>
        <v>1</v>
      </c>
      <c r="X6" s="0" t="n">
        <f aca="false">IF(SUMPRODUCT(COUNTIF($C6:$L6,M6:O6))&gt;0,1,0)</f>
        <v>1</v>
      </c>
      <c r="Y6" s="0" t="n">
        <f aca="false">IF(SUMPRODUCT(COUNTIF($C6:$L6,M6:Q6))&gt;0,1,0)</f>
        <v>1</v>
      </c>
      <c r="Z6" s="0" t="n">
        <f aca="false">IF(SUMPRODUCT(COUNTIF($C6:$L6,M6:V6))&gt;0,1,0)</f>
        <v>1</v>
      </c>
      <c r="AA6" s="0" t="n">
        <f aca="false">IF(COUNTIF(M6:M6,$C6)&gt;0,1,0)</f>
        <v>0</v>
      </c>
      <c r="AB6" s="0" t="n">
        <f aca="false">IF(COUNTIF(M6:O6,$C6)&gt;0,1,0)</f>
        <v>0</v>
      </c>
      <c r="AC6" s="0" t="n">
        <f aca="false">IF(COUNTIF(M6:Q6,$C6)&gt;0,1,0)</f>
        <v>0</v>
      </c>
      <c r="AD6" s="0" t="n">
        <f aca="false">IF(COUNTIF(M6:V6,$C6)&gt;0,1,0)</f>
        <v>0</v>
      </c>
      <c r="AE6" s="0" t="n">
        <f aca="false">IFERROR(MATCH(1,INDEX(--(COUNTIF($C6:$L6,M6:V6)&gt;0),0),0),"")</f>
        <v>1</v>
      </c>
      <c r="AF6" s="0" t="n">
        <v>7439</v>
      </c>
    </row>
    <row r="7" customFormat="false" ht="15" hidden="false" customHeight="false" outlineLevel="0" collapsed="false">
      <c r="A7" s="0" t="s">
        <v>42</v>
      </c>
      <c r="B7" s="0" t="s">
        <v>43</v>
      </c>
      <c r="C7" s="0" t="n">
        <v>115883</v>
      </c>
      <c r="D7" s="0" t="n">
        <v>154216</v>
      </c>
      <c r="E7" s="0" t="n">
        <v>57580</v>
      </c>
      <c r="F7" s="0" t="n">
        <v>19844</v>
      </c>
      <c r="G7" s="0" t="n">
        <v>159103</v>
      </c>
      <c r="H7" s="0" t="n">
        <v>64856</v>
      </c>
      <c r="I7" s="0" t="n">
        <v>168790</v>
      </c>
      <c r="J7" s="0" t="n">
        <v>171808</v>
      </c>
      <c r="K7" s="0" t="n">
        <v>126968</v>
      </c>
      <c r="L7" s="0" t="n">
        <v>90737</v>
      </c>
      <c r="M7" s="0" t="n">
        <v>6292</v>
      </c>
      <c r="N7" s="0" t="n">
        <v>148065</v>
      </c>
      <c r="O7" s="0" t="n">
        <v>33176</v>
      </c>
      <c r="P7" s="0" t="n">
        <v>170959</v>
      </c>
      <c r="Q7" s="0" t="n">
        <v>79278</v>
      </c>
      <c r="R7" s="0" t="n">
        <v>75700</v>
      </c>
      <c r="S7" s="0" t="n">
        <v>71731</v>
      </c>
      <c r="T7" s="0" t="n">
        <v>83419</v>
      </c>
      <c r="U7" s="0" t="n">
        <v>159103</v>
      </c>
      <c r="V7" s="0" t="n">
        <v>18721</v>
      </c>
      <c r="W7" s="0" t="n">
        <f aca="false">IF(SUMPRODUCT(COUNTIF($C7:$L7,M7:M7))&gt;0,1,0)</f>
        <v>0</v>
      </c>
      <c r="X7" s="0" t="n">
        <f aca="false">IF(SUMPRODUCT(COUNTIF($C7:$L7,M7:O7))&gt;0,1,0)</f>
        <v>0</v>
      </c>
      <c r="Y7" s="0" t="n">
        <f aca="false">IF(SUMPRODUCT(COUNTIF($C7:$L7,M7:Q7))&gt;0,1,0)</f>
        <v>0</v>
      </c>
      <c r="Z7" s="0" t="n">
        <f aca="false">IF(SUMPRODUCT(COUNTIF($C7:$L7,M7:V7))&gt;0,1,0)</f>
        <v>1</v>
      </c>
      <c r="AA7" s="0" t="n">
        <f aca="false">IF(COUNTIF(M7:M7,$C7)&gt;0,1,0)</f>
        <v>0</v>
      </c>
      <c r="AB7" s="0" t="n">
        <f aca="false">IF(COUNTIF(M7:O7,$C7)&gt;0,1,0)</f>
        <v>0</v>
      </c>
      <c r="AC7" s="0" t="n">
        <f aca="false">IF(COUNTIF(M7:Q7,$C7)&gt;0,1,0)</f>
        <v>0</v>
      </c>
      <c r="AD7" s="0" t="n">
        <f aca="false">IF(COUNTIF(M7:V7,$C7)&gt;0,1,0)</f>
        <v>0</v>
      </c>
      <c r="AE7" s="0" t="n">
        <f aca="false">IFERROR(MATCH(1,INDEX(--(COUNTIF($C7:$L7,M7:V7)&gt;0),0),0),"")</f>
        <v>9</v>
      </c>
      <c r="AF7" s="0" t="n">
        <v>8447</v>
      </c>
    </row>
    <row r="8" customFormat="false" ht="15" hidden="false" customHeight="false" outlineLevel="0" collapsed="false">
      <c r="A8" s="0" t="s">
        <v>44</v>
      </c>
      <c r="B8" s="0" t="s">
        <v>45</v>
      </c>
      <c r="C8" s="0" t="n">
        <v>140709</v>
      </c>
      <c r="D8" s="0" t="n">
        <v>159747</v>
      </c>
      <c r="E8" s="0" t="n">
        <v>141560</v>
      </c>
      <c r="F8" s="0" t="n">
        <v>175837</v>
      </c>
      <c r="G8" s="0" t="n">
        <v>188576</v>
      </c>
      <c r="H8" s="0" t="n">
        <v>161272</v>
      </c>
      <c r="I8" s="0" t="n">
        <v>122542</v>
      </c>
      <c r="J8" s="0" t="n">
        <v>161273</v>
      </c>
      <c r="K8" s="0" t="n">
        <v>187499</v>
      </c>
      <c r="L8" s="0" t="n">
        <v>3673</v>
      </c>
      <c r="M8" s="0" t="n">
        <v>149224</v>
      </c>
      <c r="N8" s="0" t="n">
        <v>161273</v>
      </c>
      <c r="O8" s="0" t="n">
        <v>160607</v>
      </c>
      <c r="P8" s="0" t="n">
        <v>22226</v>
      </c>
      <c r="Q8" s="0" t="n">
        <v>175982</v>
      </c>
      <c r="R8" s="0" t="n">
        <v>166637</v>
      </c>
      <c r="S8" s="0" t="n">
        <v>185676</v>
      </c>
      <c r="T8" s="0" t="n">
        <v>170682</v>
      </c>
      <c r="U8" s="0" t="n">
        <v>148341</v>
      </c>
      <c r="V8" s="0" t="n">
        <v>193556</v>
      </c>
      <c r="W8" s="0" t="n">
        <f aca="false">IF(SUMPRODUCT(COUNTIF($C8:$L8,M8:M8))&gt;0,1,0)</f>
        <v>0</v>
      </c>
      <c r="X8" s="0" t="n">
        <f aca="false">IF(SUMPRODUCT(COUNTIF($C8:$L8,M8:O8))&gt;0,1,0)</f>
        <v>1</v>
      </c>
      <c r="Y8" s="0" t="n">
        <f aca="false">IF(SUMPRODUCT(COUNTIF($C8:$L8,M8:Q8))&gt;0,1,0)</f>
        <v>1</v>
      </c>
      <c r="Z8" s="0" t="n">
        <f aca="false">IF(SUMPRODUCT(COUNTIF($C8:$L8,M8:V8))&gt;0,1,0)</f>
        <v>1</v>
      </c>
      <c r="AA8" s="0" t="n">
        <f aca="false">IF(COUNTIF(M8:M8,$C8)&gt;0,1,0)</f>
        <v>0</v>
      </c>
      <c r="AB8" s="0" t="n">
        <f aca="false">IF(COUNTIF(M8:O8,$C8)&gt;0,1,0)</f>
        <v>0</v>
      </c>
      <c r="AC8" s="0" t="n">
        <f aca="false">IF(COUNTIF(M8:Q8,$C8)&gt;0,1,0)</f>
        <v>0</v>
      </c>
      <c r="AD8" s="0" t="n">
        <f aca="false">IF(COUNTIF(M8:V8,$C8)&gt;0,1,0)</f>
        <v>0</v>
      </c>
      <c r="AE8" s="0" t="n">
        <f aca="false">IFERROR(MATCH(1,INDEX(--(COUNTIF($C8:$L8,M8:V8)&gt;0),0),0),"")</f>
        <v>2</v>
      </c>
      <c r="AF8" s="0" t="n">
        <v>6752</v>
      </c>
    </row>
    <row r="9" customFormat="false" ht="15" hidden="false" customHeight="false" outlineLevel="0" collapsed="false">
      <c r="A9" s="0" t="s">
        <v>46</v>
      </c>
      <c r="B9" s="0" t="s">
        <v>47</v>
      </c>
      <c r="C9" s="0" t="n">
        <v>99300</v>
      </c>
      <c r="D9" s="0" t="n">
        <v>193122</v>
      </c>
      <c r="E9" s="0" t="n">
        <v>159043</v>
      </c>
      <c r="F9" s="0" t="n">
        <v>158807</v>
      </c>
      <c r="G9" s="0" t="n">
        <v>177189</v>
      </c>
      <c r="H9" s="0" t="n">
        <v>193119</v>
      </c>
      <c r="I9" s="0" t="n">
        <v>193117</v>
      </c>
      <c r="J9" s="0" t="n">
        <v>21893</v>
      </c>
      <c r="K9" s="0" t="n">
        <v>128032</v>
      </c>
      <c r="L9" s="0" t="n">
        <v>21889</v>
      </c>
      <c r="M9" s="0" t="n">
        <v>71731</v>
      </c>
      <c r="N9" s="0" t="n">
        <v>129990</v>
      </c>
      <c r="O9" s="0" t="n">
        <v>47015</v>
      </c>
      <c r="P9" s="0" t="n">
        <v>99300</v>
      </c>
      <c r="Q9" s="0" t="n">
        <v>47027</v>
      </c>
      <c r="R9" s="0" t="n">
        <v>128032</v>
      </c>
      <c r="S9" s="0" t="n">
        <v>139547</v>
      </c>
      <c r="T9" s="0" t="n">
        <v>47022</v>
      </c>
      <c r="U9" s="0" t="n">
        <v>47024</v>
      </c>
      <c r="V9" s="0" t="n">
        <v>47035</v>
      </c>
      <c r="W9" s="0" t="n">
        <f aca="false">IF(SUMPRODUCT(COUNTIF($C9:$L9,M9:M9))&gt;0,1,0)</f>
        <v>0</v>
      </c>
      <c r="X9" s="0" t="n">
        <f aca="false">IF(SUMPRODUCT(COUNTIF($C9:$L9,M9:O9))&gt;0,1,0)</f>
        <v>0</v>
      </c>
      <c r="Y9" s="0" t="n">
        <f aca="false">IF(SUMPRODUCT(COUNTIF($C9:$L9,M9:Q9))&gt;0,1,0)</f>
        <v>1</v>
      </c>
      <c r="Z9" s="0" t="n">
        <f aca="false">IF(SUMPRODUCT(COUNTIF($C9:$L9,M9:V9))&gt;0,1,0)</f>
        <v>1</v>
      </c>
      <c r="AA9" s="0" t="n">
        <f aca="false">IF(COUNTIF(M9:M9,$C9)&gt;0,1,0)</f>
        <v>0</v>
      </c>
      <c r="AB9" s="0" t="n">
        <f aca="false">IF(COUNTIF(M9:O9,$C9)&gt;0,1,0)</f>
        <v>0</v>
      </c>
      <c r="AC9" s="0" t="n">
        <f aca="false">IF(COUNTIF(M9:Q9,$C9)&gt;0,1,0)</f>
        <v>1</v>
      </c>
      <c r="AD9" s="0" t="n">
        <f aca="false">IF(COUNTIF(M9:V9,$C9)&gt;0,1,0)</f>
        <v>1</v>
      </c>
      <c r="AE9" s="0" t="n">
        <f aca="false">IFERROR(MATCH(1,INDEX(--(COUNTIF($C9:$L9,M9:V9)&gt;0),0),0),"")</f>
        <v>4</v>
      </c>
      <c r="AF9" s="0" t="n">
        <v>9727</v>
      </c>
    </row>
    <row r="10" customFormat="false" ht="15" hidden="false" customHeight="false" outlineLevel="0" collapsed="false">
      <c r="A10" s="0" t="s">
        <v>48</v>
      </c>
      <c r="B10" s="0" t="s">
        <v>49</v>
      </c>
      <c r="C10" s="0" t="n">
        <v>100548</v>
      </c>
      <c r="D10" s="0" t="n">
        <v>158435</v>
      </c>
      <c r="E10" s="0" t="n">
        <v>188457</v>
      </c>
      <c r="F10" s="0" t="n">
        <v>197387</v>
      </c>
      <c r="G10" s="0" t="n">
        <v>158436</v>
      </c>
      <c r="H10" s="0" t="n">
        <v>21751</v>
      </c>
      <c r="I10" s="0" t="n">
        <v>132130</v>
      </c>
      <c r="J10" s="0" t="n">
        <v>188452</v>
      </c>
      <c r="K10" s="0" t="n">
        <v>107295</v>
      </c>
      <c r="L10" s="0" t="n">
        <v>174992</v>
      </c>
      <c r="M10" s="0" t="n">
        <v>100547</v>
      </c>
      <c r="N10" s="0" t="n">
        <v>135529</v>
      </c>
      <c r="O10" s="0" t="n">
        <v>105023</v>
      </c>
      <c r="P10" s="0" t="n">
        <v>173269</v>
      </c>
      <c r="Q10" s="0" t="n">
        <v>148720</v>
      </c>
      <c r="R10" s="0" t="n">
        <v>139399</v>
      </c>
      <c r="S10" s="0" t="n">
        <v>35719</v>
      </c>
      <c r="T10" s="0" t="n">
        <v>21749</v>
      </c>
      <c r="U10" s="0" t="n">
        <v>121535</v>
      </c>
      <c r="V10" s="0" t="n">
        <v>18721</v>
      </c>
      <c r="W10" s="0" t="n">
        <f aca="false">IF(SUMPRODUCT(COUNTIF($C10:$L10,M10:M10))&gt;0,1,0)</f>
        <v>0</v>
      </c>
      <c r="X10" s="0" t="n">
        <f aca="false">IF(SUMPRODUCT(COUNTIF($C10:$L10,M10:O10))&gt;0,1,0)</f>
        <v>0</v>
      </c>
      <c r="Y10" s="0" t="n">
        <f aca="false">IF(SUMPRODUCT(COUNTIF($C10:$L10,M10:Q10))&gt;0,1,0)</f>
        <v>0</v>
      </c>
      <c r="Z10" s="0" t="n">
        <f aca="false">IF(SUMPRODUCT(COUNTIF($C10:$L10,M10:V10))&gt;0,1,0)</f>
        <v>0</v>
      </c>
      <c r="AA10" s="0" t="n">
        <f aca="false">IF(COUNTIF(M10:M10,$C10)&gt;0,1,0)</f>
        <v>0</v>
      </c>
      <c r="AB10" s="0" t="n">
        <f aca="false">IF(COUNTIF(M10:O10,$C10)&gt;0,1,0)</f>
        <v>0</v>
      </c>
      <c r="AC10" s="0" t="n">
        <f aca="false">IF(COUNTIF(M10:Q10,$C10)&gt;0,1,0)</f>
        <v>0</v>
      </c>
      <c r="AD10" s="0" t="n">
        <f aca="false">IF(COUNTIF(M10:V10,$C10)&gt;0,1,0)</f>
        <v>0</v>
      </c>
      <c r="AE10" s="0" t="str">
        <f aca="false">IFERROR(MATCH(1,INDEX(--(COUNTIF($C10:$L10,M10:V10)&gt;0),0),0),"")</f>
        <v/>
      </c>
      <c r="AF10" s="0" t="n">
        <v>10231</v>
      </c>
    </row>
    <row r="11" customFormat="false" ht="15" hidden="false" customHeight="false" outlineLevel="0" collapsed="false">
      <c r="A11" s="0" t="s">
        <v>50</v>
      </c>
      <c r="B11" s="0" t="s">
        <v>51</v>
      </c>
      <c r="C11" s="0" t="n">
        <v>35037</v>
      </c>
      <c r="D11" s="0" t="n">
        <v>35035</v>
      </c>
      <c r="E11" s="0" t="n">
        <v>175130</v>
      </c>
      <c r="F11" s="0" t="n">
        <v>157629</v>
      </c>
      <c r="G11" s="0" t="n">
        <v>157630</v>
      </c>
      <c r="H11" s="0" t="n">
        <v>160158</v>
      </c>
      <c r="I11" s="0" t="n">
        <v>39691</v>
      </c>
      <c r="J11" s="0" t="n">
        <v>130202</v>
      </c>
      <c r="K11" s="0" t="n">
        <v>126043</v>
      </c>
      <c r="L11" s="0" t="n">
        <v>130200</v>
      </c>
      <c r="M11" s="0" t="n">
        <v>35037</v>
      </c>
      <c r="N11" s="0" t="n">
        <v>175130</v>
      </c>
      <c r="O11" s="0" t="n">
        <v>157629</v>
      </c>
      <c r="P11" s="0" t="n">
        <v>130202</v>
      </c>
      <c r="Q11" s="0" t="n">
        <v>39680</v>
      </c>
      <c r="R11" s="0" t="n">
        <v>104050</v>
      </c>
      <c r="S11" s="0" t="n">
        <v>35035</v>
      </c>
      <c r="T11" s="0" t="n">
        <v>120507</v>
      </c>
      <c r="U11" s="0" t="n">
        <v>39679</v>
      </c>
      <c r="V11" s="0" t="n">
        <v>39702</v>
      </c>
      <c r="W11" s="0" t="n">
        <f aca="false">IF(SUMPRODUCT(COUNTIF($C11:$L11,M11:M11))&gt;0,1,0)</f>
        <v>1</v>
      </c>
      <c r="X11" s="0" t="n">
        <f aca="false">IF(SUMPRODUCT(COUNTIF($C11:$L11,M11:O11))&gt;0,1,0)</f>
        <v>1</v>
      </c>
      <c r="Y11" s="0" t="n">
        <f aca="false">IF(SUMPRODUCT(COUNTIF($C11:$L11,M11:Q11))&gt;0,1,0)</f>
        <v>1</v>
      </c>
      <c r="Z11" s="0" t="n">
        <f aca="false">IF(SUMPRODUCT(COUNTIF($C11:$L11,M11:V11))&gt;0,1,0)</f>
        <v>1</v>
      </c>
      <c r="AA11" s="0" t="n">
        <f aca="false">IF(COUNTIF(M11:M11,$C11)&gt;0,1,0)</f>
        <v>1</v>
      </c>
      <c r="AB11" s="0" t="n">
        <f aca="false">IF(COUNTIF(M11:O11,$C11)&gt;0,1,0)</f>
        <v>1</v>
      </c>
      <c r="AC11" s="0" t="n">
        <f aca="false">IF(COUNTIF(M11:Q11,$C11)&gt;0,1,0)</f>
        <v>1</v>
      </c>
      <c r="AD11" s="0" t="n">
        <f aca="false">IF(COUNTIF(M11:V11,$C11)&gt;0,1,0)</f>
        <v>1</v>
      </c>
      <c r="AE11" s="0" t="n">
        <f aca="false">IFERROR(MATCH(1,INDEX(--(COUNTIF($C11:$L11,M11:V11)&gt;0),0),0),"")</f>
        <v>1</v>
      </c>
      <c r="AF11" s="0" t="n">
        <v>10077</v>
      </c>
    </row>
    <row r="12" customFormat="false" ht="15" hidden="false" customHeight="false" outlineLevel="0" collapsed="false">
      <c r="A12" s="0" t="s">
        <v>52</v>
      </c>
      <c r="B12" s="0" t="s">
        <v>53</v>
      </c>
      <c r="C12" s="0" t="n">
        <v>139130</v>
      </c>
      <c r="D12" s="0" t="n">
        <v>3934</v>
      </c>
      <c r="E12" s="0" t="n">
        <v>139139</v>
      </c>
      <c r="F12" s="0" t="n">
        <v>139140</v>
      </c>
      <c r="G12" s="0" t="n">
        <v>139135</v>
      </c>
      <c r="H12" s="0" t="n">
        <v>139131</v>
      </c>
      <c r="I12" s="0" t="n">
        <v>4213</v>
      </c>
      <c r="J12" s="0" t="n">
        <v>115806</v>
      </c>
      <c r="K12" s="0" t="n">
        <v>124202</v>
      </c>
      <c r="L12" s="0" t="n">
        <v>139090</v>
      </c>
      <c r="M12" s="0" t="n">
        <v>139130</v>
      </c>
      <c r="N12" s="0" t="n">
        <v>115806</v>
      </c>
      <c r="O12" s="0" t="n">
        <v>124202</v>
      </c>
      <c r="P12" s="0" t="n">
        <v>13851</v>
      </c>
      <c r="Q12" s="0" t="n">
        <v>131499</v>
      </c>
      <c r="R12" s="0" t="n">
        <v>139135</v>
      </c>
      <c r="S12" s="0" t="n">
        <v>4213</v>
      </c>
      <c r="T12" s="0" t="n">
        <v>115794</v>
      </c>
      <c r="U12" s="0" t="n">
        <v>166934</v>
      </c>
      <c r="V12" s="0" t="n">
        <v>139140</v>
      </c>
      <c r="W12" s="0" t="n">
        <f aca="false">IF(SUMPRODUCT(COUNTIF($C12:$L12,M12:M12))&gt;0,1,0)</f>
        <v>1</v>
      </c>
      <c r="X12" s="0" t="n">
        <f aca="false">IF(SUMPRODUCT(COUNTIF($C12:$L12,M12:O12))&gt;0,1,0)</f>
        <v>1</v>
      </c>
      <c r="Y12" s="0" t="n">
        <f aca="false">IF(SUMPRODUCT(COUNTIF($C12:$L12,M12:Q12))&gt;0,1,0)</f>
        <v>1</v>
      </c>
      <c r="Z12" s="0" t="n">
        <f aca="false">IF(SUMPRODUCT(COUNTIF($C12:$L12,M12:V12))&gt;0,1,0)</f>
        <v>1</v>
      </c>
      <c r="AA12" s="0" t="n">
        <f aca="false">IF(COUNTIF(M12:M12,$C12)&gt;0,1,0)</f>
        <v>1</v>
      </c>
      <c r="AB12" s="0" t="n">
        <f aca="false">IF(COUNTIF(M12:O12,$C12)&gt;0,1,0)</f>
        <v>1</v>
      </c>
      <c r="AC12" s="0" t="n">
        <f aca="false">IF(COUNTIF(M12:Q12,$C12)&gt;0,1,0)</f>
        <v>1</v>
      </c>
      <c r="AD12" s="0" t="n">
        <f aca="false">IF(COUNTIF(M12:V12,$C12)&gt;0,1,0)</f>
        <v>1</v>
      </c>
      <c r="AE12" s="0" t="n">
        <f aca="false">IFERROR(MATCH(1,INDEX(--(COUNTIF($C12:$L12,M12:V12)&gt;0),0),0),"")</f>
        <v>1</v>
      </c>
      <c r="AF12" s="0" t="n">
        <v>9833</v>
      </c>
    </row>
    <row r="13" customFormat="false" ht="15" hidden="false" customHeight="false" outlineLevel="0" collapsed="false">
      <c r="A13" s="0" t="s">
        <v>54</v>
      </c>
      <c r="B13" s="0" t="s">
        <v>55</v>
      </c>
      <c r="C13" s="0" t="n">
        <v>164458</v>
      </c>
      <c r="D13" s="0" t="n">
        <v>164459</v>
      </c>
      <c r="E13" s="0" t="n">
        <v>155007</v>
      </c>
      <c r="F13" s="0" t="n">
        <v>171883</v>
      </c>
      <c r="G13" s="0" t="n">
        <v>20523</v>
      </c>
      <c r="H13" s="0" t="n">
        <v>190746</v>
      </c>
      <c r="I13" s="0" t="n">
        <v>20524</v>
      </c>
      <c r="J13" s="0" t="n">
        <v>160234</v>
      </c>
      <c r="K13" s="0" t="n">
        <v>104454</v>
      </c>
      <c r="L13" s="0" t="n">
        <v>20525</v>
      </c>
      <c r="M13" s="0" t="n">
        <v>72141</v>
      </c>
      <c r="N13" s="0" t="n">
        <v>170341</v>
      </c>
      <c r="O13" s="0" t="n">
        <v>145433</v>
      </c>
      <c r="P13" s="0" t="n">
        <v>20523</v>
      </c>
      <c r="Q13" s="0" t="n">
        <v>170398</v>
      </c>
      <c r="R13" s="0" t="n">
        <v>155007</v>
      </c>
      <c r="S13" s="0" t="n">
        <v>35719</v>
      </c>
      <c r="T13" s="0" t="n">
        <v>20525</v>
      </c>
      <c r="U13" s="0" t="n">
        <v>20524</v>
      </c>
      <c r="V13" s="0" t="n">
        <v>139547</v>
      </c>
      <c r="W13" s="0" t="n">
        <f aca="false">IF(SUMPRODUCT(COUNTIF($C13:$L13,M13:M13))&gt;0,1,0)</f>
        <v>0</v>
      </c>
      <c r="X13" s="0" t="n">
        <f aca="false">IF(SUMPRODUCT(COUNTIF($C13:$L13,M13:O13))&gt;0,1,0)</f>
        <v>0</v>
      </c>
      <c r="Y13" s="0" t="n">
        <f aca="false">IF(SUMPRODUCT(COUNTIF($C13:$L13,M13:Q13))&gt;0,1,0)</f>
        <v>1</v>
      </c>
      <c r="Z13" s="0" t="n">
        <f aca="false">IF(SUMPRODUCT(COUNTIF($C13:$L13,M13:V13))&gt;0,1,0)</f>
        <v>1</v>
      </c>
      <c r="AA13" s="0" t="n">
        <f aca="false">IF(COUNTIF(M13:M13,$C13)&gt;0,1,0)</f>
        <v>0</v>
      </c>
      <c r="AB13" s="0" t="n">
        <f aca="false">IF(COUNTIF(M13:O13,$C13)&gt;0,1,0)</f>
        <v>0</v>
      </c>
      <c r="AC13" s="0" t="n">
        <f aca="false">IF(COUNTIF(M13:Q13,$C13)&gt;0,1,0)</f>
        <v>0</v>
      </c>
      <c r="AD13" s="0" t="n">
        <f aca="false">IF(COUNTIF(M13:V13,$C13)&gt;0,1,0)</f>
        <v>0</v>
      </c>
      <c r="AE13" s="0" t="n">
        <f aca="false">IFERROR(MATCH(1,INDEX(--(COUNTIF($C13:$L13,M13:V13)&gt;0),0),0),"")</f>
        <v>4</v>
      </c>
      <c r="AF13" s="0" t="n">
        <v>9243</v>
      </c>
    </row>
    <row r="14" customFormat="false" ht="15" hidden="false" customHeight="false" outlineLevel="0" collapsed="false">
      <c r="A14" s="0" t="s">
        <v>56</v>
      </c>
      <c r="B14" s="0" t="s">
        <v>57</v>
      </c>
      <c r="C14" s="0" t="n">
        <v>195759</v>
      </c>
      <c r="D14" s="0" t="n">
        <v>77992</v>
      </c>
      <c r="E14" s="0" t="n">
        <v>78034</v>
      </c>
      <c r="F14" s="0" t="n">
        <v>78068</v>
      </c>
      <c r="G14" s="0" t="n">
        <v>129682</v>
      </c>
      <c r="H14" s="0" t="n">
        <v>19185</v>
      </c>
      <c r="I14" s="0" t="n">
        <v>169341</v>
      </c>
      <c r="J14" s="0" t="n">
        <v>195613</v>
      </c>
      <c r="K14" s="0" t="n">
        <v>140687</v>
      </c>
      <c r="L14" s="0" t="n">
        <v>181431</v>
      </c>
      <c r="M14" s="0" t="n">
        <v>78068</v>
      </c>
      <c r="N14" s="0" t="n">
        <v>103274</v>
      </c>
      <c r="O14" s="0" t="n">
        <v>195759</v>
      </c>
      <c r="P14" s="0" t="n">
        <v>80992</v>
      </c>
      <c r="Q14" s="0" t="n">
        <v>78123</v>
      </c>
      <c r="R14" s="0" t="n">
        <v>128079</v>
      </c>
      <c r="S14" s="0" t="n">
        <v>194051</v>
      </c>
      <c r="T14" s="0" t="n">
        <v>159030</v>
      </c>
      <c r="U14" s="0" t="n">
        <v>78008</v>
      </c>
      <c r="V14" s="0" t="n">
        <v>128080</v>
      </c>
      <c r="W14" s="0" t="n">
        <f aca="false">IF(SUMPRODUCT(COUNTIF($C14:$L14,M14:M14))&gt;0,1,0)</f>
        <v>1</v>
      </c>
      <c r="X14" s="0" t="n">
        <f aca="false">IF(SUMPRODUCT(COUNTIF($C14:$L14,M14:O14))&gt;0,1,0)</f>
        <v>1</v>
      </c>
      <c r="Y14" s="0" t="n">
        <f aca="false">IF(SUMPRODUCT(COUNTIF($C14:$L14,M14:Q14))&gt;0,1,0)</f>
        <v>1</v>
      </c>
      <c r="Z14" s="0" t="n">
        <f aca="false">IF(SUMPRODUCT(COUNTIF($C14:$L14,M14:V14))&gt;0,1,0)</f>
        <v>1</v>
      </c>
      <c r="AA14" s="0" t="n">
        <f aca="false">IF(COUNTIF(M14:M14,$C14)&gt;0,1,0)</f>
        <v>0</v>
      </c>
      <c r="AB14" s="0" t="n">
        <f aca="false">IF(COUNTIF(M14:O14,$C14)&gt;0,1,0)</f>
        <v>1</v>
      </c>
      <c r="AC14" s="0" t="n">
        <f aca="false">IF(COUNTIF(M14:Q14,$C14)&gt;0,1,0)</f>
        <v>1</v>
      </c>
      <c r="AD14" s="0" t="n">
        <f aca="false">IF(COUNTIF(M14:V14,$C14)&gt;0,1,0)</f>
        <v>1</v>
      </c>
      <c r="AE14" s="0" t="n">
        <f aca="false">IFERROR(MATCH(1,INDEX(--(COUNTIF($C14:$L14,M14:V14)&gt;0),0),0),"")</f>
        <v>1</v>
      </c>
      <c r="AF14" s="0" t="n">
        <v>9379</v>
      </c>
    </row>
    <row r="15" customFormat="false" ht="15" hidden="false" customHeight="false" outlineLevel="0" collapsed="false">
      <c r="A15" s="0" t="s">
        <v>58</v>
      </c>
      <c r="B15" s="0" t="s">
        <v>59</v>
      </c>
      <c r="C15" s="0" t="n">
        <v>197387</v>
      </c>
      <c r="D15" s="0" t="n">
        <v>157727</v>
      </c>
      <c r="E15" s="0" t="n">
        <v>89783</v>
      </c>
      <c r="F15" s="0" t="n">
        <v>101924</v>
      </c>
      <c r="G15" s="0" t="n">
        <v>67385</v>
      </c>
      <c r="H15" s="0" t="n">
        <v>49010</v>
      </c>
      <c r="I15" s="0" t="n">
        <v>178656</v>
      </c>
      <c r="J15" s="0" t="n">
        <v>158094</v>
      </c>
      <c r="K15" s="0" t="n">
        <v>127898</v>
      </c>
      <c r="L15" s="0" t="n">
        <v>172580</v>
      </c>
      <c r="M15" s="0" t="n">
        <v>196534</v>
      </c>
      <c r="N15" s="0" t="n">
        <v>57757</v>
      </c>
      <c r="O15" s="0" t="n">
        <v>185679</v>
      </c>
      <c r="P15" s="0" t="n">
        <v>10013</v>
      </c>
      <c r="Q15" s="0" t="n">
        <v>115947</v>
      </c>
      <c r="R15" s="0" t="n">
        <v>22992</v>
      </c>
      <c r="S15" s="0" t="n">
        <v>139139</v>
      </c>
      <c r="T15" s="0" t="n">
        <v>197398</v>
      </c>
      <c r="U15" s="0" t="n">
        <v>185623</v>
      </c>
      <c r="V15" s="0" t="n">
        <v>48565</v>
      </c>
      <c r="W15" s="0" t="n">
        <f aca="false">IF(SUMPRODUCT(COUNTIF($C15:$L15,M15:M15))&gt;0,1,0)</f>
        <v>0</v>
      </c>
      <c r="X15" s="0" t="n">
        <f aca="false">IF(SUMPRODUCT(COUNTIF($C15:$L15,M15:O15))&gt;0,1,0)</f>
        <v>0</v>
      </c>
      <c r="Y15" s="0" t="n">
        <f aca="false">IF(SUMPRODUCT(COUNTIF($C15:$L15,M15:Q15))&gt;0,1,0)</f>
        <v>0</v>
      </c>
      <c r="Z15" s="0" t="n">
        <f aca="false">IF(SUMPRODUCT(COUNTIF($C15:$L15,M15:V15))&gt;0,1,0)</f>
        <v>0</v>
      </c>
      <c r="AA15" s="0" t="n">
        <f aca="false">IF(COUNTIF(M15:M15,$C15)&gt;0,1,0)</f>
        <v>0</v>
      </c>
      <c r="AB15" s="0" t="n">
        <f aca="false">IF(COUNTIF(M15:O15,$C15)&gt;0,1,0)</f>
        <v>0</v>
      </c>
      <c r="AC15" s="0" t="n">
        <f aca="false">IF(COUNTIF(M15:Q15,$C15)&gt;0,1,0)</f>
        <v>0</v>
      </c>
      <c r="AD15" s="0" t="n">
        <f aca="false">IF(COUNTIF(M15:V15,$C15)&gt;0,1,0)</f>
        <v>0</v>
      </c>
      <c r="AE15" s="0" t="str">
        <f aca="false">IFERROR(MATCH(1,INDEX(--(COUNTIF($C15:$L15,M15:V15)&gt;0),0),0),"")</f>
        <v/>
      </c>
      <c r="AF15" s="0" t="n">
        <v>9977</v>
      </c>
    </row>
    <row r="16" customFormat="false" ht="15" hidden="false" customHeight="false" outlineLevel="0" collapsed="false">
      <c r="A16" s="0" t="s">
        <v>60</v>
      </c>
      <c r="B16" s="0" t="s">
        <v>61</v>
      </c>
      <c r="C16" s="0" t="n">
        <v>120517</v>
      </c>
      <c r="D16" s="0" t="n">
        <v>48139</v>
      </c>
      <c r="E16" s="0" t="n">
        <v>47399</v>
      </c>
      <c r="F16" s="0" t="n">
        <v>109403</v>
      </c>
      <c r="G16" s="0" t="n">
        <v>139630</v>
      </c>
      <c r="H16" s="0" t="n">
        <v>168595</v>
      </c>
      <c r="I16" s="0" t="n">
        <v>35873</v>
      </c>
      <c r="J16" s="0" t="n">
        <v>109404</v>
      </c>
      <c r="K16" s="0" t="n">
        <v>170706</v>
      </c>
      <c r="L16" s="0" t="n">
        <v>170346</v>
      </c>
      <c r="M16" s="0" t="n">
        <v>48139</v>
      </c>
      <c r="N16" s="0" t="n">
        <v>181929</v>
      </c>
      <c r="O16" s="0" t="n">
        <v>48135</v>
      </c>
      <c r="P16" s="0" t="n">
        <v>120517</v>
      </c>
      <c r="Q16" s="0" t="n">
        <v>35873</v>
      </c>
      <c r="R16" s="0" t="n">
        <v>109403</v>
      </c>
      <c r="S16" s="0" t="n">
        <v>35866</v>
      </c>
      <c r="T16" s="0" t="n">
        <v>34195</v>
      </c>
      <c r="U16" s="0" t="n">
        <v>139462</v>
      </c>
      <c r="V16" s="0" t="n">
        <v>109404</v>
      </c>
      <c r="W16" s="0" t="n">
        <f aca="false">IF(SUMPRODUCT(COUNTIF($C16:$L16,M16:M16))&gt;0,1,0)</f>
        <v>1</v>
      </c>
      <c r="X16" s="0" t="n">
        <f aca="false">IF(SUMPRODUCT(COUNTIF($C16:$L16,M16:O16))&gt;0,1,0)</f>
        <v>1</v>
      </c>
      <c r="Y16" s="0" t="n">
        <f aca="false">IF(SUMPRODUCT(COUNTIF($C16:$L16,M16:Q16))&gt;0,1,0)</f>
        <v>1</v>
      </c>
      <c r="Z16" s="0" t="n">
        <f aca="false">IF(SUMPRODUCT(COUNTIF($C16:$L16,M16:V16))&gt;0,1,0)</f>
        <v>1</v>
      </c>
      <c r="AA16" s="0" t="n">
        <f aca="false">IF(COUNTIF(M16:M16,$C16)&gt;0,1,0)</f>
        <v>0</v>
      </c>
      <c r="AB16" s="0" t="n">
        <f aca="false">IF(COUNTIF(M16:O16,$C16)&gt;0,1,0)</f>
        <v>0</v>
      </c>
      <c r="AC16" s="0" t="n">
        <f aca="false">IF(COUNTIF(M16:Q16,$C16)&gt;0,1,0)</f>
        <v>1</v>
      </c>
      <c r="AD16" s="0" t="n">
        <f aca="false">IF(COUNTIF(M16:V16,$C16)&gt;0,1,0)</f>
        <v>1</v>
      </c>
      <c r="AE16" s="0" t="n">
        <f aca="false">IFERROR(MATCH(1,INDEX(--(COUNTIF($C16:$L16,M16:V16)&gt;0),0),0),"")</f>
        <v>1</v>
      </c>
      <c r="AF16" s="0" t="n">
        <v>10188</v>
      </c>
    </row>
    <row r="17" customFormat="false" ht="15" hidden="false" customHeight="false" outlineLevel="0" collapsed="false">
      <c r="A17" s="0" t="s">
        <v>62</v>
      </c>
      <c r="B17" s="0" t="s">
        <v>63</v>
      </c>
      <c r="C17" s="0" t="n">
        <v>80529</v>
      </c>
      <c r="D17" s="0" t="n">
        <v>56729</v>
      </c>
      <c r="E17" s="0" t="n">
        <v>185844</v>
      </c>
      <c r="F17" s="0" t="n">
        <v>123981</v>
      </c>
      <c r="G17" s="0" t="n">
        <v>92934</v>
      </c>
      <c r="H17" s="0" t="n">
        <v>196216</v>
      </c>
      <c r="I17" s="0" t="n">
        <v>173474</v>
      </c>
      <c r="J17" s="0" t="n">
        <v>29998</v>
      </c>
      <c r="K17" s="0" t="n">
        <v>180546</v>
      </c>
      <c r="L17" s="0" t="n">
        <v>151857</v>
      </c>
      <c r="M17" s="0" t="n">
        <v>80529</v>
      </c>
      <c r="N17" s="0" t="n">
        <v>56729</v>
      </c>
      <c r="O17" s="0" t="n">
        <v>185844</v>
      </c>
      <c r="P17" s="0" t="n">
        <v>140468</v>
      </c>
      <c r="Q17" s="0" t="n">
        <v>80535</v>
      </c>
      <c r="R17" s="0" t="n">
        <v>196549</v>
      </c>
      <c r="S17" s="0" t="n">
        <v>196216</v>
      </c>
      <c r="T17" s="0" t="n">
        <v>180546</v>
      </c>
      <c r="U17" s="0" t="n">
        <v>185837</v>
      </c>
      <c r="V17" s="0" t="n">
        <v>29998</v>
      </c>
      <c r="W17" s="0" t="n">
        <f aca="false">IF(SUMPRODUCT(COUNTIF($C17:$L17,M17:M17))&gt;0,1,0)</f>
        <v>1</v>
      </c>
      <c r="X17" s="0" t="n">
        <f aca="false">IF(SUMPRODUCT(COUNTIF($C17:$L17,M17:O17))&gt;0,1,0)</f>
        <v>1</v>
      </c>
      <c r="Y17" s="0" t="n">
        <f aca="false">IF(SUMPRODUCT(COUNTIF($C17:$L17,M17:Q17))&gt;0,1,0)</f>
        <v>1</v>
      </c>
      <c r="Z17" s="0" t="n">
        <f aca="false">IF(SUMPRODUCT(COUNTIF($C17:$L17,M17:V17))&gt;0,1,0)</f>
        <v>1</v>
      </c>
      <c r="AA17" s="0" t="n">
        <f aca="false">IF(COUNTIF(M17:M17,$C17)&gt;0,1,0)</f>
        <v>1</v>
      </c>
      <c r="AB17" s="0" t="n">
        <f aca="false">IF(COUNTIF(M17:O17,$C17)&gt;0,1,0)</f>
        <v>1</v>
      </c>
      <c r="AC17" s="0" t="n">
        <f aca="false">IF(COUNTIF(M17:Q17,$C17)&gt;0,1,0)</f>
        <v>1</v>
      </c>
      <c r="AD17" s="0" t="n">
        <f aca="false">IF(COUNTIF(M17:V17,$C17)&gt;0,1,0)</f>
        <v>1</v>
      </c>
      <c r="AE17" s="0" t="n">
        <f aca="false">IFERROR(MATCH(1,INDEX(--(COUNTIF($C17:$L17,M17:V17)&gt;0),0),0),"")</f>
        <v>1</v>
      </c>
      <c r="AF17" s="0" t="n">
        <v>10298</v>
      </c>
    </row>
    <row r="18" customFormat="false" ht="15" hidden="false" customHeight="false" outlineLevel="0" collapsed="false">
      <c r="A18" s="0" t="s">
        <v>64</v>
      </c>
      <c r="B18" s="0" t="s">
        <v>65</v>
      </c>
      <c r="C18" s="0" t="n">
        <v>161120</v>
      </c>
      <c r="D18" s="0" t="n">
        <v>187499</v>
      </c>
      <c r="E18" s="0" t="n">
        <v>140709</v>
      </c>
      <c r="F18" s="0" t="n">
        <v>172074</v>
      </c>
      <c r="G18" s="0" t="n">
        <v>22226</v>
      </c>
      <c r="H18" s="0" t="n">
        <v>140710</v>
      </c>
      <c r="I18" s="0" t="n">
        <v>4220</v>
      </c>
      <c r="J18" s="0" t="n">
        <v>122542</v>
      </c>
      <c r="K18" s="0" t="n">
        <v>118601</v>
      </c>
      <c r="L18" s="0" t="n">
        <v>3924</v>
      </c>
      <c r="M18" s="0" t="n">
        <v>22226</v>
      </c>
      <c r="N18" s="0" t="n">
        <v>187499</v>
      </c>
      <c r="O18" s="0" t="n">
        <v>161120</v>
      </c>
      <c r="P18" s="0" t="n">
        <v>172074</v>
      </c>
      <c r="Q18" s="0" t="n">
        <v>118602</v>
      </c>
      <c r="R18" s="0" t="n">
        <v>118601</v>
      </c>
      <c r="S18" s="0" t="n">
        <v>166638</v>
      </c>
      <c r="T18" s="0" t="n">
        <v>77922</v>
      </c>
      <c r="U18" s="0" t="n">
        <v>77956</v>
      </c>
      <c r="V18" s="0" t="n">
        <v>161121</v>
      </c>
      <c r="W18" s="0" t="n">
        <f aca="false">IF(SUMPRODUCT(COUNTIF($C18:$L18,M18:M18))&gt;0,1,0)</f>
        <v>1</v>
      </c>
      <c r="X18" s="0" t="n">
        <f aca="false">IF(SUMPRODUCT(COUNTIF($C18:$L18,M18:O18))&gt;0,1,0)</f>
        <v>1</v>
      </c>
      <c r="Y18" s="0" t="n">
        <f aca="false">IF(SUMPRODUCT(COUNTIF($C18:$L18,M18:Q18))&gt;0,1,0)</f>
        <v>1</v>
      </c>
      <c r="Z18" s="0" t="n">
        <f aca="false">IF(SUMPRODUCT(COUNTIF($C18:$L18,M18:V18))&gt;0,1,0)</f>
        <v>1</v>
      </c>
      <c r="AA18" s="0" t="n">
        <f aca="false">IF(COUNTIF(M18:M18,$C18)&gt;0,1,0)</f>
        <v>0</v>
      </c>
      <c r="AB18" s="0" t="n">
        <f aca="false">IF(COUNTIF(M18:O18,$C18)&gt;0,1,0)</f>
        <v>1</v>
      </c>
      <c r="AC18" s="0" t="n">
        <f aca="false">IF(COUNTIF(M18:Q18,$C18)&gt;0,1,0)</f>
        <v>1</v>
      </c>
      <c r="AD18" s="0" t="n">
        <f aca="false">IF(COUNTIF(M18:V18,$C18)&gt;0,1,0)</f>
        <v>1</v>
      </c>
      <c r="AE18" s="0" t="n">
        <f aca="false">IFERROR(MATCH(1,INDEX(--(COUNTIF($C18:$L18,M18:V18)&gt;0),0),0),"")</f>
        <v>1</v>
      </c>
      <c r="AF18" s="0" t="n">
        <v>11176</v>
      </c>
    </row>
    <row r="19" customFormat="false" ht="15" hidden="false" customHeight="false" outlineLevel="0" collapsed="false">
      <c r="A19" s="0" t="s">
        <v>66</v>
      </c>
      <c r="B19" s="0" t="s">
        <v>67</v>
      </c>
      <c r="C19" s="0" t="n">
        <v>176069</v>
      </c>
      <c r="D19" s="0" t="n">
        <v>3811</v>
      </c>
      <c r="E19" s="0" t="n">
        <v>131340</v>
      </c>
      <c r="F19" s="0" t="n">
        <v>35886</v>
      </c>
      <c r="G19" s="0" t="n">
        <v>131339</v>
      </c>
      <c r="H19" s="0" t="n">
        <v>39202</v>
      </c>
      <c r="I19" s="0" t="n">
        <v>168169</v>
      </c>
      <c r="J19" s="0" t="n">
        <v>153455</v>
      </c>
      <c r="K19" s="0" t="n">
        <v>175208</v>
      </c>
      <c r="L19" s="0" t="n">
        <v>153454</v>
      </c>
      <c r="M19" s="0" t="n">
        <v>39202</v>
      </c>
      <c r="N19" s="0" t="n">
        <v>176069</v>
      </c>
      <c r="O19" s="0" t="n">
        <v>187209</v>
      </c>
      <c r="P19" s="0" t="n">
        <v>35873</v>
      </c>
      <c r="Q19" s="0" t="n">
        <v>184634</v>
      </c>
      <c r="R19" s="0" t="n">
        <v>184635</v>
      </c>
      <c r="S19" s="0" t="n">
        <v>17573</v>
      </c>
      <c r="T19" s="0" t="n">
        <v>184636</v>
      </c>
      <c r="U19" s="0" t="n">
        <v>184631</v>
      </c>
      <c r="V19" s="0" t="n">
        <v>184632</v>
      </c>
      <c r="W19" s="0" t="n">
        <f aca="false">IF(SUMPRODUCT(COUNTIF($C19:$L19,M19:M19))&gt;0,1,0)</f>
        <v>1</v>
      </c>
      <c r="X19" s="0" t="n">
        <f aca="false">IF(SUMPRODUCT(COUNTIF($C19:$L19,M19:O19))&gt;0,1,0)</f>
        <v>1</v>
      </c>
      <c r="Y19" s="0" t="n">
        <f aca="false">IF(SUMPRODUCT(COUNTIF($C19:$L19,M19:Q19))&gt;0,1,0)</f>
        <v>1</v>
      </c>
      <c r="Z19" s="0" t="n">
        <f aca="false">IF(SUMPRODUCT(COUNTIF($C19:$L19,M19:V19))&gt;0,1,0)</f>
        <v>1</v>
      </c>
      <c r="AA19" s="0" t="n">
        <f aca="false">IF(COUNTIF(M19:M19,$C19)&gt;0,1,0)</f>
        <v>0</v>
      </c>
      <c r="AB19" s="0" t="n">
        <f aca="false">IF(COUNTIF(M19:O19,$C19)&gt;0,1,0)</f>
        <v>1</v>
      </c>
      <c r="AC19" s="0" t="n">
        <f aca="false">IF(COUNTIF(M19:Q19,$C19)&gt;0,1,0)</f>
        <v>1</v>
      </c>
      <c r="AD19" s="0" t="n">
        <f aca="false">IF(COUNTIF(M19:V19,$C19)&gt;0,1,0)</f>
        <v>1</v>
      </c>
      <c r="AE19" s="0" t="n">
        <f aca="false">IFERROR(MATCH(1,INDEX(--(COUNTIF($C19:$L19,M19:V19)&gt;0),0),0),"")</f>
        <v>1</v>
      </c>
      <c r="AF19" s="0" t="n">
        <v>11764</v>
      </c>
    </row>
    <row r="20" customFormat="false" ht="15" hidden="false" customHeight="false" outlineLevel="0" collapsed="false">
      <c r="A20" s="0" t="s">
        <v>68</v>
      </c>
      <c r="B20" s="0" t="s">
        <v>69</v>
      </c>
      <c r="C20" s="0" t="n">
        <v>196548</v>
      </c>
      <c r="D20" s="0" t="n">
        <v>29990</v>
      </c>
      <c r="E20" s="0" t="n">
        <v>92934</v>
      </c>
      <c r="F20" s="0" t="n">
        <v>168595</v>
      </c>
      <c r="G20" s="0" t="n">
        <v>30007</v>
      </c>
      <c r="H20" s="0" t="n">
        <v>168510</v>
      </c>
      <c r="I20" s="0" t="n">
        <v>93388</v>
      </c>
      <c r="J20" s="0" t="n">
        <v>171450</v>
      </c>
      <c r="K20" s="0" t="n">
        <v>150514</v>
      </c>
      <c r="L20" s="0" t="n">
        <v>196415</v>
      </c>
      <c r="M20" s="0" t="n">
        <v>29990</v>
      </c>
      <c r="N20" s="0" t="n">
        <v>121622</v>
      </c>
      <c r="O20" s="0" t="n">
        <v>62892</v>
      </c>
      <c r="P20" s="0" t="n">
        <v>161683</v>
      </c>
      <c r="Q20" s="0" t="n">
        <v>31432</v>
      </c>
      <c r="R20" s="0" t="n">
        <v>92934</v>
      </c>
      <c r="S20" s="0" t="n">
        <v>168510</v>
      </c>
      <c r="T20" s="0" t="n">
        <v>196548</v>
      </c>
      <c r="U20" s="0" t="n">
        <v>164947</v>
      </c>
      <c r="V20" s="0" t="n">
        <v>47397</v>
      </c>
      <c r="W20" s="0" t="n">
        <f aca="false">IF(SUMPRODUCT(COUNTIF($C20:$L20,M20:M20))&gt;0,1,0)</f>
        <v>1</v>
      </c>
      <c r="X20" s="0" t="n">
        <f aca="false">IF(SUMPRODUCT(COUNTIF($C20:$L20,M20:O20))&gt;0,1,0)</f>
        <v>1</v>
      </c>
      <c r="Y20" s="0" t="n">
        <f aca="false">IF(SUMPRODUCT(COUNTIF($C20:$L20,M20:Q20))&gt;0,1,0)</f>
        <v>1</v>
      </c>
      <c r="Z20" s="0" t="n">
        <f aca="false">IF(SUMPRODUCT(COUNTIF($C20:$L20,M20:V20))&gt;0,1,0)</f>
        <v>1</v>
      </c>
      <c r="AA20" s="0" t="n">
        <f aca="false">IF(COUNTIF(M20:M20,$C20)&gt;0,1,0)</f>
        <v>0</v>
      </c>
      <c r="AB20" s="0" t="n">
        <f aca="false">IF(COUNTIF(M20:O20,$C20)&gt;0,1,0)</f>
        <v>0</v>
      </c>
      <c r="AC20" s="0" t="n">
        <f aca="false">IF(COUNTIF(M20:Q20,$C20)&gt;0,1,0)</f>
        <v>0</v>
      </c>
      <c r="AD20" s="0" t="n">
        <f aca="false">IF(COUNTIF(M20:V20,$C20)&gt;0,1,0)</f>
        <v>1</v>
      </c>
      <c r="AE20" s="0" t="n">
        <f aca="false">IFERROR(MATCH(1,INDEX(--(COUNTIF($C20:$L20,M20:V20)&gt;0),0),0),"")</f>
        <v>1</v>
      </c>
      <c r="AF20" s="0" t="n">
        <v>11715</v>
      </c>
    </row>
    <row r="21" customFormat="false" ht="15" hidden="false" customHeight="false" outlineLevel="0" collapsed="false">
      <c r="A21" s="0" t="s">
        <v>70</v>
      </c>
      <c r="B21" s="0" t="s">
        <v>71</v>
      </c>
      <c r="C21" s="0" t="n">
        <v>175089</v>
      </c>
      <c r="D21" s="0" t="n">
        <v>160715</v>
      </c>
      <c r="E21" s="0" t="n">
        <v>176233</v>
      </c>
      <c r="F21" s="0" t="n">
        <v>175087</v>
      </c>
      <c r="G21" s="0" t="n">
        <v>175090</v>
      </c>
      <c r="H21" s="0" t="n">
        <v>175932</v>
      </c>
      <c r="I21" s="0" t="n">
        <v>160717</v>
      </c>
      <c r="J21" s="0" t="n">
        <v>175092</v>
      </c>
      <c r="K21" s="0" t="n">
        <v>169375</v>
      </c>
      <c r="L21" s="0" t="n">
        <v>175088</v>
      </c>
      <c r="M21" s="0" t="n">
        <v>139708</v>
      </c>
      <c r="N21" s="0" t="n">
        <v>167305</v>
      </c>
      <c r="O21" s="0" t="n">
        <v>167280</v>
      </c>
      <c r="P21" s="0" t="n">
        <v>175085</v>
      </c>
      <c r="Q21" s="0" t="n">
        <v>185332</v>
      </c>
      <c r="R21" s="0" t="n">
        <v>160717</v>
      </c>
      <c r="S21" s="0" t="n">
        <v>30081</v>
      </c>
      <c r="T21" s="0" t="n">
        <v>139705</v>
      </c>
      <c r="U21" s="0" t="n">
        <v>175932</v>
      </c>
      <c r="V21" s="0" t="n">
        <v>160712</v>
      </c>
      <c r="W21" s="0" t="n">
        <f aca="false">IF(SUMPRODUCT(COUNTIF($C21:$L21,M21:M21))&gt;0,1,0)</f>
        <v>0</v>
      </c>
      <c r="X21" s="0" t="n">
        <f aca="false">IF(SUMPRODUCT(COUNTIF($C21:$L21,M21:O21))&gt;0,1,0)</f>
        <v>0</v>
      </c>
      <c r="Y21" s="0" t="n">
        <f aca="false">IF(SUMPRODUCT(COUNTIF($C21:$L21,M21:Q21))&gt;0,1,0)</f>
        <v>0</v>
      </c>
      <c r="Z21" s="0" t="n">
        <f aca="false">IF(SUMPRODUCT(COUNTIF($C21:$L21,M21:V21))&gt;0,1,0)</f>
        <v>1</v>
      </c>
      <c r="AA21" s="0" t="n">
        <f aca="false">IF(COUNTIF(M21:M21,$C21)&gt;0,1,0)</f>
        <v>0</v>
      </c>
      <c r="AB21" s="0" t="n">
        <f aca="false">IF(COUNTIF(M21:O21,$C21)&gt;0,1,0)</f>
        <v>0</v>
      </c>
      <c r="AC21" s="0" t="n">
        <f aca="false">IF(COUNTIF(M21:Q21,$C21)&gt;0,1,0)</f>
        <v>0</v>
      </c>
      <c r="AD21" s="0" t="n">
        <f aca="false">IF(COUNTIF(M21:V21,$C21)&gt;0,1,0)</f>
        <v>0</v>
      </c>
      <c r="AE21" s="0" t="n">
        <f aca="false">IFERROR(MATCH(1,INDEX(--(COUNTIF($C21:$L21,M21:V21)&gt;0),0),0),"")</f>
        <v>6</v>
      </c>
      <c r="AF21" s="0" t="n">
        <v>11704</v>
      </c>
    </row>
    <row r="22" customFormat="false" ht="15" hidden="false" customHeight="false" outlineLevel="0" collapsed="false">
      <c r="A22" s="0" t="s">
        <v>72</v>
      </c>
      <c r="B22" s="0" t="s">
        <v>73</v>
      </c>
      <c r="C22" s="0" t="n">
        <v>77208</v>
      </c>
      <c r="D22" s="0" t="n">
        <v>79119</v>
      </c>
      <c r="E22" s="0" t="n">
        <v>54888</v>
      </c>
      <c r="F22" s="0" t="n">
        <v>119921</v>
      </c>
      <c r="G22" s="0" t="n">
        <v>57421</v>
      </c>
      <c r="H22" s="0" t="n">
        <v>57420</v>
      </c>
      <c r="I22" s="0" t="n">
        <v>79120</v>
      </c>
      <c r="J22" s="0" t="n">
        <v>145770</v>
      </c>
      <c r="K22" s="0" t="n">
        <v>77213</v>
      </c>
      <c r="L22" s="0" t="n">
        <v>21750</v>
      </c>
      <c r="M22" s="0" t="n">
        <v>145770</v>
      </c>
      <c r="N22" s="0" t="n">
        <v>31653</v>
      </c>
      <c r="O22" s="0" t="n">
        <v>72155</v>
      </c>
      <c r="P22" s="0" t="n">
        <v>145759</v>
      </c>
      <c r="Q22" s="0" t="n">
        <v>168407</v>
      </c>
      <c r="R22" s="0" t="n">
        <v>39706</v>
      </c>
      <c r="S22" s="0" t="n">
        <v>21750</v>
      </c>
      <c r="T22" s="0" t="n">
        <v>161122</v>
      </c>
      <c r="U22" s="0" t="n">
        <v>113220</v>
      </c>
      <c r="V22" s="0" t="n">
        <v>54887</v>
      </c>
      <c r="W22" s="0" t="n">
        <f aca="false">IF(SUMPRODUCT(COUNTIF($C22:$L22,M22:M22))&gt;0,1,0)</f>
        <v>1</v>
      </c>
      <c r="X22" s="0" t="n">
        <f aca="false">IF(SUMPRODUCT(COUNTIF($C22:$L22,M22:O22))&gt;0,1,0)</f>
        <v>1</v>
      </c>
      <c r="Y22" s="0" t="n">
        <f aca="false">IF(SUMPRODUCT(COUNTIF($C22:$L22,M22:Q22))&gt;0,1,0)</f>
        <v>1</v>
      </c>
      <c r="Z22" s="0" t="n">
        <f aca="false">IF(SUMPRODUCT(COUNTIF($C22:$L22,M22:V22))&gt;0,1,0)</f>
        <v>1</v>
      </c>
      <c r="AA22" s="0" t="n">
        <f aca="false">IF(COUNTIF(M22:M22,$C22)&gt;0,1,0)</f>
        <v>0</v>
      </c>
      <c r="AB22" s="0" t="n">
        <f aca="false">IF(COUNTIF(M22:O22,$C22)&gt;0,1,0)</f>
        <v>0</v>
      </c>
      <c r="AC22" s="0" t="n">
        <f aca="false">IF(COUNTIF(M22:Q22,$C22)&gt;0,1,0)</f>
        <v>0</v>
      </c>
      <c r="AD22" s="0" t="n">
        <f aca="false">IF(COUNTIF(M22:V22,$C22)&gt;0,1,0)</f>
        <v>0</v>
      </c>
      <c r="AE22" s="0" t="n">
        <f aca="false">IFERROR(MATCH(1,INDEX(--(COUNTIF($C22:$L22,M22:V22)&gt;0),0),0),"")</f>
        <v>1</v>
      </c>
      <c r="AF22" s="0" t="n">
        <v>37951</v>
      </c>
    </row>
    <row r="23" customFormat="false" ht="15" hidden="false" customHeight="false" outlineLevel="0" collapsed="false">
      <c r="A23" s="0" t="s">
        <v>74</v>
      </c>
      <c r="B23" s="0" t="s">
        <v>75</v>
      </c>
      <c r="C23" s="0" t="n">
        <v>158761</v>
      </c>
      <c r="D23" s="0" t="n">
        <v>89059</v>
      </c>
      <c r="E23" s="0" t="n">
        <v>144211</v>
      </c>
      <c r="F23" s="0" t="n">
        <v>23172</v>
      </c>
      <c r="G23" s="0" t="n">
        <v>148489</v>
      </c>
      <c r="H23" s="0" t="n">
        <v>184278</v>
      </c>
      <c r="I23" s="0" t="n">
        <v>75744</v>
      </c>
      <c r="J23" s="0" t="n">
        <v>121318</v>
      </c>
      <c r="K23" s="0" t="n">
        <v>75740</v>
      </c>
      <c r="L23" s="0" t="n">
        <v>75833</v>
      </c>
      <c r="M23" s="0" t="n">
        <v>36788</v>
      </c>
      <c r="N23" s="0" t="n">
        <v>17426</v>
      </c>
      <c r="O23" s="0" t="n">
        <v>23172</v>
      </c>
      <c r="P23" s="0" t="n">
        <v>140667</v>
      </c>
      <c r="Q23" s="0" t="n">
        <v>89059</v>
      </c>
      <c r="R23" s="0" t="n">
        <v>96468</v>
      </c>
      <c r="S23" s="0" t="n">
        <v>96470</v>
      </c>
      <c r="T23" s="0" t="n">
        <v>96466</v>
      </c>
      <c r="U23" s="0" t="n">
        <v>47002</v>
      </c>
      <c r="V23" s="0" t="n">
        <v>43840</v>
      </c>
      <c r="W23" s="0" t="n">
        <f aca="false">IF(SUMPRODUCT(COUNTIF($C23:$L23,M23:M23))&gt;0,1,0)</f>
        <v>0</v>
      </c>
      <c r="X23" s="0" t="n">
        <f aca="false">IF(SUMPRODUCT(COUNTIF($C23:$L23,M23:O23))&gt;0,1,0)</f>
        <v>1</v>
      </c>
      <c r="Y23" s="0" t="n">
        <f aca="false">IF(SUMPRODUCT(COUNTIF($C23:$L23,M23:Q23))&gt;0,1,0)</f>
        <v>1</v>
      </c>
      <c r="Z23" s="0" t="n">
        <f aca="false">IF(SUMPRODUCT(COUNTIF($C23:$L23,M23:V23))&gt;0,1,0)</f>
        <v>1</v>
      </c>
      <c r="AA23" s="0" t="n">
        <f aca="false">IF(COUNTIF(M23:M23,$C23)&gt;0,1,0)</f>
        <v>0</v>
      </c>
      <c r="AB23" s="0" t="n">
        <f aca="false">IF(COUNTIF(M23:O23,$C23)&gt;0,1,0)</f>
        <v>0</v>
      </c>
      <c r="AC23" s="0" t="n">
        <f aca="false">IF(COUNTIF(M23:Q23,$C23)&gt;0,1,0)</f>
        <v>0</v>
      </c>
      <c r="AD23" s="0" t="n">
        <f aca="false">IF(COUNTIF(M23:V23,$C23)&gt;0,1,0)</f>
        <v>0</v>
      </c>
      <c r="AE23" s="0" t="n">
        <f aca="false">IFERROR(MATCH(1,INDEX(--(COUNTIF($C23:$L23,M23:V23)&gt;0),0),0),"")</f>
        <v>3</v>
      </c>
      <c r="AF23" s="0" t="n">
        <v>36345</v>
      </c>
    </row>
    <row r="24" customFormat="false" ht="15" hidden="false" customHeight="false" outlineLevel="0" collapsed="false">
      <c r="A24" s="0" t="s">
        <v>76</v>
      </c>
      <c r="B24" s="0" t="s">
        <v>77</v>
      </c>
      <c r="C24" s="0" t="n">
        <v>115157</v>
      </c>
      <c r="D24" s="0" t="n">
        <v>107975</v>
      </c>
      <c r="E24" s="0" t="n">
        <v>176290</v>
      </c>
      <c r="F24" s="0" t="n">
        <v>161270</v>
      </c>
      <c r="G24" s="0" t="n">
        <v>115816</v>
      </c>
      <c r="H24" s="0" t="n">
        <v>139133</v>
      </c>
      <c r="I24" s="0" t="n">
        <v>139136</v>
      </c>
      <c r="J24" s="0" t="n">
        <v>127499</v>
      </c>
      <c r="K24" s="0" t="n">
        <v>75812</v>
      </c>
      <c r="L24" s="0" t="n">
        <v>120491</v>
      </c>
      <c r="M24" s="0" t="n">
        <v>3939</v>
      </c>
      <c r="N24" s="0" t="n">
        <v>145803</v>
      </c>
      <c r="O24" s="0" t="n">
        <v>6009</v>
      </c>
      <c r="P24" s="0" t="n">
        <v>12411</v>
      </c>
      <c r="Q24" s="0" t="n">
        <v>172459</v>
      </c>
      <c r="R24" s="0" t="n">
        <v>168182</v>
      </c>
      <c r="S24" s="0" t="n">
        <v>131828</v>
      </c>
      <c r="T24" s="0" t="n">
        <v>22610</v>
      </c>
      <c r="U24" s="0" t="n">
        <v>83851</v>
      </c>
      <c r="V24" s="0" t="n">
        <v>6445</v>
      </c>
      <c r="W24" s="0" t="n">
        <f aca="false">IF(SUMPRODUCT(COUNTIF($C24:$L24,M24:M24))&gt;0,1,0)</f>
        <v>0</v>
      </c>
      <c r="X24" s="0" t="n">
        <f aca="false">IF(SUMPRODUCT(COUNTIF($C24:$L24,M24:O24))&gt;0,1,0)</f>
        <v>0</v>
      </c>
      <c r="Y24" s="0" t="n">
        <f aca="false">IF(SUMPRODUCT(COUNTIF($C24:$L24,M24:Q24))&gt;0,1,0)</f>
        <v>0</v>
      </c>
      <c r="Z24" s="0" t="n">
        <f aca="false">IF(SUMPRODUCT(COUNTIF($C24:$L24,M24:V24))&gt;0,1,0)</f>
        <v>0</v>
      </c>
      <c r="AA24" s="0" t="n">
        <f aca="false">IF(COUNTIF(M24:M24,$C24)&gt;0,1,0)</f>
        <v>0</v>
      </c>
      <c r="AB24" s="0" t="n">
        <f aca="false">IF(COUNTIF(M24:O24,$C24)&gt;0,1,0)</f>
        <v>0</v>
      </c>
      <c r="AC24" s="0" t="n">
        <f aca="false">IF(COUNTIF(M24:Q24,$C24)&gt;0,1,0)</f>
        <v>0</v>
      </c>
      <c r="AD24" s="0" t="n">
        <f aca="false">IF(COUNTIF(M24:V24,$C24)&gt;0,1,0)</f>
        <v>0</v>
      </c>
      <c r="AE24" s="0" t="str">
        <f aca="false">IFERROR(MATCH(1,INDEX(--(COUNTIF($C24:$L24,M24:V24)&gt;0),0),0),"")</f>
        <v/>
      </c>
      <c r="AF24" s="0" t="n">
        <v>34851</v>
      </c>
    </row>
    <row r="25" customFormat="false" ht="15" hidden="false" customHeight="false" outlineLevel="0" collapsed="false">
      <c r="A25" s="0" t="s">
        <v>78</v>
      </c>
      <c r="B25" s="0" t="s">
        <v>79</v>
      </c>
      <c r="C25" s="0" t="n">
        <v>153992</v>
      </c>
      <c r="D25" s="0" t="n">
        <v>105057</v>
      </c>
      <c r="E25" s="0" t="n">
        <v>164460</v>
      </c>
      <c r="F25" s="0" t="n">
        <v>191051</v>
      </c>
      <c r="G25" s="0" t="n">
        <v>141725</v>
      </c>
      <c r="H25" s="0" t="n">
        <v>105059</v>
      </c>
      <c r="I25" s="0" t="n">
        <v>159873</v>
      </c>
      <c r="J25" s="0" t="n">
        <v>159872</v>
      </c>
      <c r="K25" s="0" t="n">
        <v>105061</v>
      </c>
      <c r="L25" s="0" t="n">
        <v>153990</v>
      </c>
      <c r="M25" s="0" t="n">
        <v>153992</v>
      </c>
      <c r="N25" s="0" t="n">
        <v>164460</v>
      </c>
      <c r="O25" s="0" t="n">
        <v>105057</v>
      </c>
      <c r="P25" s="0" t="n">
        <v>110077</v>
      </c>
      <c r="Q25" s="0" t="n">
        <v>105061</v>
      </c>
      <c r="R25" s="0" t="n">
        <v>191051</v>
      </c>
      <c r="S25" s="0" t="n">
        <v>105059</v>
      </c>
      <c r="T25" s="0" t="n">
        <v>159873</v>
      </c>
      <c r="U25" s="0" t="n">
        <v>159872</v>
      </c>
      <c r="V25" s="0" t="n">
        <v>153990</v>
      </c>
      <c r="W25" s="0" t="n">
        <f aca="false">IF(SUMPRODUCT(COUNTIF($C25:$L25,M25:M25))&gt;0,1,0)</f>
        <v>1</v>
      </c>
      <c r="X25" s="0" t="n">
        <f aca="false">IF(SUMPRODUCT(COUNTIF($C25:$L25,M25:O25))&gt;0,1,0)</f>
        <v>1</v>
      </c>
      <c r="Y25" s="0" t="n">
        <f aca="false">IF(SUMPRODUCT(COUNTIF($C25:$L25,M25:Q25))&gt;0,1,0)</f>
        <v>1</v>
      </c>
      <c r="Z25" s="0" t="n">
        <f aca="false">IF(SUMPRODUCT(COUNTIF($C25:$L25,M25:V25))&gt;0,1,0)</f>
        <v>1</v>
      </c>
      <c r="AA25" s="0" t="n">
        <f aca="false">IF(COUNTIF(M25:M25,$C25)&gt;0,1,0)</f>
        <v>1</v>
      </c>
      <c r="AB25" s="0" t="n">
        <f aca="false">IF(COUNTIF(M25:O25,$C25)&gt;0,1,0)</f>
        <v>1</v>
      </c>
      <c r="AC25" s="0" t="n">
        <f aca="false">IF(COUNTIF(M25:Q25,$C25)&gt;0,1,0)</f>
        <v>1</v>
      </c>
      <c r="AD25" s="0" t="n">
        <f aca="false">IF(COUNTIF(M25:V25,$C25)&gt;0,1,0)</f>
        <v>1</v>
      </c>
      <c r="AE25" s="0" t="n">
        <f aca="false">IFERROR(MATCH(1,INDEX(--(COUNTIF($C25:$L25,M25:V25)&gt;0),0),0),"")</f>
        <v>1</v>
      </c>
      <c r="AF25" s="0" t="n">
        <v>33421</v>
      </c>
    </row>
    <row r="26" customFormat="false" ht="15" hidden="false" customHeight="false" outlineLevel="0" collapsed="false">
      <c r="A26" s="0" t="s">
        <v>80</v>
      </c>
      <c r="B26" s="0" t="s">
        <v>81</v>
      </c>
      <c r="C26" s="0" t="n">
        <v>6292</v>
      </c>
      <c r="D26" s="0" t="n">
        <v>174537</v>
      </c>
      <c r="E26" s="0" t="n">
        <v>125573</v>
      </c>
      <c r="F26" s="0" t="n">
        <v>170081</v>
      </c>
      <c r="G26" s="0" t="n">
        <v>177189</v>
      </c>
      <c r="H26" s="0" t="n">
        <v>149415</v>
      </c>
      <c r="I26" s="0" t="n">
        <v>127506</v>
      </c>
      <c r="J26" s="0" t="n">
        <v>200213</v>
      </c>
      <c r="K26" s="0" t="n">
        <v>33163</v>
      </c>
      <c r="L26" s="0" t="n">
        <v>127725</v>
      </c>
      <c r="M26" s="0" t="n">
        <v>6292</v>
      </c>
      <c r="N26" s="0" t="n">
        <v>23610</v>
      </c>
      <c r="O26" s="0" t="n">
        <v>62011</v>
      </c>
      <c r="P26" s="0" t="n">
        <v>28541</v>
      </c>
      <c r="Q26" s="0" t="n">
        <v>177189</v>
      </c>
      <c r="R26" s="0" t="n">
        <v>79278</v>
      </c>
      <c r="S26" s="0" t="n">
        <v>3823</v>
      </c>
      <c r="T26" s="0" t="n">
        <v>125573</v>
      </c>
      <c r="U26" s="0" t="n">
        <v>127506</v>
      </c>
      <c r="V26" s="0" t="n">
        <v>173268</v>
      </c>
      <c r="W26" s="0" t="n">
        <f aca="false">IF(SUMPRODUCT(COUNTIF($C26:$L26,M26:M26))&gt;0,1,0)</f>
        <v>1</v>
      </c>
      <c r="X26" s="0" t="n">
        <f aca="false">IF(SUMPRODUCT(COUNTIF($C26:$L26,M26:O26))&gt;0,1,0)</f>
        <v>1</v>
      </c>
      <c r="Y26" s="0" t="n">
        <f aca="false">IF(SUMPRODUCT(COUNTIF($C26:$L26,M26:Q26))&gt;0,1,0)</f>
        <v>1</v>
      </c>
      <c r="Z26" s="0" t="n">
        <f aca="false">IF(SUMPRODUCT(COUNTIF($C26:$L26,M26:V26))&gt;0,1,0)</f>
        <v>1</v>
      </c>
      <c r="AA26" s="0" t="n">
        <f aca="false">IF(COUNTIF(M26:M26,$C26)&gt;0,1,0)</f>
        <v>1</v>
      </c>
      <c r="AB26" s="0" t="n">
        <f aca="false">IF(COUNTIF(M26:O26,$C26)&gt;0,1,0)</f>
        <v>1</v>
      </c>
      <c r="AC26" s="0" t="n">
        <f aca="false">IF(COUNTIF(M26:Q26,$C26)&gt;0,1,0)</f>
        <v>1</v>
      </c>
      <c r="AD26" s="0" t="n">
        <f aca="false">IF(COUNTIF(M26:V26,$C26)&gt;0,1,0)</f>
        <v>1</v>
      </c>
      <c r="AE26" s="0" t="n">
        <f aca="false">IFERROR(MATCH(1,INDEX(--(COUNTIF($C26:$L26,M26:V26)&gt;0),0),0),"")</f>
        <v>1</v>
      </c>
      <c r="AF26" s="0" t="n">
        <v>31397</v>
      </c>
    </row>
    <row r="27" customFormat="false" ht="15" hidden="false" customHeight="false" outlineLevel="0" collapsed="false">
      <c r="A27" s="0" t="s">
        <v>82</v>
      </c>
      <c r="B27" s="0" t="s">
        <v>83</v>
      </c>
      <c r="C27" s="0" t="n">
        <v>128251</v>
      </c>
      <c r="D27" s="0" t="n">
        <v>87259</v>
      </c>
      <c r="E27" s="0" t="n">
        <v>173165</v>
      </c>
      <c r="F27" s="0" t="n">
        <v>173171</v>
      </c>
      <c r="G27" s="0" t="n">
        <v>158407</v>
      </c>
      <c r="H27" s="0" t="n">
        <v>173169</v>
      </c>
      <c r="I27" s="0" t="n">
        <v>119628</v>
      </c>
      <c r="J27" s="0" t="n">
        <v>193256</v>
      </c>
      <c r="K27" s="0" t="n">
        <v>123982</v>
      </c>
      <c r="L27" s="0" t="n">
        <v>128253</v>
      </c>
      <c r="M27" s="0" t="n">
        <v>158040</v>
      </c>
      <c r="N27" s="0" t="n">
        <v>128256</v>
      </c>
      <c r="O27" s="0" t="n">
        <v>193117</v>
      </c>
      <c r="P27" s="0" t="n">
        <v>158407</v>
      </c>
      <c r="Q27" s="0" t="n">
        <v>173164</v>
      </c>
      <c r="R27" s="0" t="n">
        <v>173165</v>
      </c>
      <c r="S27" s="0" t="n">
        <v>128251</v>
      </c>
      <c r="T27" s="0" t="n">
        <v>165671</v>
      </c>
      <c r="U27" s="0" t="n">
        <v>77319</v>
      </c>
      <c r="V27" s="0" t="n">
        <v>37631</v>
      </c>
      <c r="W27" s="0" t="n">
        <f aca="false">IF(SUMPRODUCT(COUNTIF($C27:$L27,M27:M27))&gt;0,1,0)</f>
        <v>0</v>
      </c>
      <c r="X27" s="0" t="n">
        <f aca="false">IF(SUMPRODUCT(COUNTIF($C27:$L27,M27:O27))&gt;0,1,0)</f>
        <v>0</v>
      </c>
      <c r="Y27" s="0" t="n">
        <f aca="false">IF(SUMPRODUCT(COUNTIF($C27:$L27,M27:Q27))&gt;0,1,0)</f>
        <v>1</v>
      </c>
      <c r="Z27" s="0" t="n">
        <f aca="false">IF(SUMPRODUCT(COUNTIF($C27:$L27,M27:V27))&gt;0,1,0)</f>
        <v>1</v>
      </c>
      <c r="AA27" s="0" t="n">
        <f aca="false">IF(COUNTIF(M27:M27,$C27)&gt;0,1,0)</f>
        <v>0</v>
      </c>
      <c r="AB27" s="0" t="n">
        <f aca="false">IF(COUNTIF(M27:O27,$C27)&gt;0,1,0)</f>
        <v>0</v>
      </c>
      <c r="AC27" s="0" t="n">
        <f aca="false">IF(COUNTIF(M27:Q27,$C27)&gt;0,1,0)</f>
        <v>0</v>
      </c>
      <c r="AD27" s="0" t="n">
        <f aca="false">IF(COUNTIF(M27:V27,$C27)&gt;0,1,0)</f>
        <v>1</v>
      </c>
      <c r="AE27" s="0" t="n">
        <f aca="false">IFERROR(MATCH(1,INDEX(--(COUNTIF($C27:$L27,M27:V27)&gt;0),0),0),"")</f>
        <v>4</v>
      </c>
      <c r="AF27" s="0" t="n">
        <v>29846</v>
      </c>
    </row>
    <row r="28" customFormat="false" ht="15" hidden="false" customHeight="false" outlineLevel="0" collapsed="false">
      <c r="A28" s="0" t="s">
        <v>84</v>
      </c>
      <c r="B28" s="0" t="s">
        <v>85</v>
      </c>
      <c r="C28" s="0" t="n">
        <v>107979</v>
      </c>
      <c r="D28" s="0" t="n">
        <v>4220</v>
      </c>
      <c r="E28" s="0" t="n">
        <v>140710</v>
      </c>
      <c r="F28" s="0" t="n">
        <v>172074</v>
      </c>
      <c r="G28" s="0" t="n">
        <v>161123</v>
      </c>
      <c r="H28" s="0" t="n">
        <v>77956</v>
      </c>
      <c r="I28" s="0" t="n">
        <v>139136</v>
      </c>
      <c r="J28" s="0" t="n">
        <v>3939</v>
      </c>
      <c r="K28" s="0" t="n">
        <v>82929</v>
      </c>
      <c r="L28" s="0" t="n">
        <v>13851</v>
      </c>
      <c r="M28" s="0" t="n">
        <v>107979</v>
      </c>
      <c r="N28" s="0" t="n">
        <v>161121</v>
      </c>
      <c r="O28" s="0" t="n">
        <v>77922</v>
      </c>
      <c r="P28" s="0" t="n">
        <v>3939</v>
      </c>
      <c r="Q28" s="0" t="n">
        <v>161123</v>
      </c>
      <c r="R28" s="0" t="n">
        <v>172074</v>
      </c>
      <c r="S28" s="0" t="n">
        <v>77956</v>
      </c>
      <c r="T28" s="0" t="n">
        <v>4220</v>
      </c>
      <c r="U28" s="0" t="n">
        <v>140710</v>
      </c>
      <c r="V28" s="0" t="n">
        <v>48388</v>
      </c>
      <c r="W28" s="0" t="n">
        <f aca="false">IF(SUMPRODUCT(COUNTIF($C28:$L28,M28:M28))&gt;0,1,0)</f>
        <v>1</v>
      </c>
      <c r="X28" s="0" t="n">
        <f aca="false">IF(SUMPRODUCT(COUNTIF($C28:$L28,M28:O28))&gt;0,1,0)</f>
        <v>1</v>
      </c>
      <c r="Y28" s="0" t="n">
        <f aca="false">IF(SUMPRODUCT(COUNTIF($C28:$L28,M28:Q28))&gt;0,1,0)</f>
        <v>1</v>
      </c>
      <c r="Z28" s="0" t="n">
        <f aca="false">IF(SUMPRODUCT(COUNTIF($C28:$L28,M28:V28))&gt;0,1,0)</f>
        <v>1</v>
      </c>
      <c r="AA28" s="0" t="n">
        <f aca="false">IF(COUNTIF(M28:M28,$C28)&gt;0,1,0)</f>
        <v>1</v>
      </c>
      <c r="AB28" s="0" t="n">
        <f aca="false">IF(COUNTIF(M28:O28,$C28)&gt;0,1,0)</f>
        <v>1</v>
      </c>
      <c r="AC28" s="0" t="n">
        <f aca="false">IF(COUNTIF(M28:Q28,$C28)&gt;0,1,0)</f>
        <v>1</v>
      </c>
      <c r="AD28" s="0" t="n">
        <f aca="false">IF(COUNTIF(M28:V28,$C28)&gt;0,1,0)</f>
        <v>1</v>
      </c>
      <c r="AE28" s="0" t="n">
        <f aca="false">IFERROR(MATCH(1,INDEX(--(COUNTIF($C28:$L28,M28:V28)&gt;0),0),0),"")</f>
        <v>1</v>
      </c>
      <c r="AF28" s="0" t="n">
        <v>28337</v>
      </c>
    </row>
    <row r="29" customFormat="false" ht="15" hidden="false" customHeight="false" outlineLevel="0" collapsed="false">
      <c r="A29" s="0" t="s">
        <v>86</v>
      </c>
      <c r="B29" s="0" t="s">
        <v>87</v>
      </c>
      <c r="C29" s="0" t="n">
        <v>175241</v>
      </c>
      <c r="D29" s="0" t="n">
        <v>173619</v>
      </c>
      <c r="E29" s="0" t="n">
        <v>121535</v>
      </c>
      <c r="F29" s="0" t="n">
        <v>140507</v>
      </c>
      <c r="G29" s="0" t="n">
        <v>175242</v>
      </c>
      <c r="H29" s="0" t="n">
        <v>149415</v>
      </c>
      <c r="I29" s="0" t="n">
        <v>147803</v>
      </c>
      <c r="J29" s="0" t="n">
        <v>132112</v>
      </c>
      <c r="K29" s="0" t="n">
        <v>150582</v>
      </c>
      <c r="L29" s="0" t="n">
        <v>148489</v>
      </c>
      <c r="M29" s="0" t="n">
        <v>36788</v>
      </c>
      <c r="N29" s="0" t="n">
        <v>158072</v>
      </c>
      <c r="O29" s="0" t="n">
        <v>104419</v>
      </c>
      <c r="P29" s="0" t="n">
        <v>148489</v>
      </c>
      <c r="Q29" s="0" t="n">
        <v>173619</v>
      </c>
      <c r="R29" s="0" t="n">
        <v>142116</v>
      </c>
      <c r="S29" s="0" t="n">
        <v>154837</v>
      </c>
      <c r="T29" s="0" t="n">
        <v>147803</v>
      </c>
      <c r="U29" s="0" t="n">
        <v>149630</v>
      </c>
      <c r="V29" s="0" t="n">
        <v>11982</v>
      </c>
      <c r="W29" s="0" t="n">
        <f aca="false">IF(SUMPRODUCT(COUNTIF($C29:$L29,M29:M29))&gt;0,1,0)</f>
        <v>0</v>
      </c>
      <c r="X29" s="0" t="n">
        <f aca="false">IF(SUMPRODUCT(COUNTIF($C29:$L29,M29:O29))&gt;0,1,0)</f>
        <v>0</v>
      </c>
      <c r="Y29" s="0" t="n">
        <f aca="false">IF(SUMPRODUCT(COUNTIF($C29:$L29,M29:Q29))&gt;0,1,0)</f>
        <v>1</v>
      </c>
      <c r="Z29" s="0" t="n">
        <f aca="false">IF(SUMPRODUCT(COUNTIF($C29:$L29,M29:V29))&gt;0,1,0)</f>
        <v>1</v>
      </c>
      <c r="AA29" s="0" t="n">
        <f aca="false">IF(COUNTIF(M29:M29,$C29)&gt;0,1,0)</f>
        <v>0</v>
      </c>
      <c r="AB29" s="0" t="n">
        <f aca="false">IF(COUNTIF(M29:O29,$C29)&gt;0,1,0)</f>
        <v>0</v>
      </c>
      <c r="AC29" s="0" t="n">
        <f aca="false">IF(COUNTIF(M29:Q29,$C29)&gt;0,1,0)</f>
        <v>0</v>
      </c>
      <c r="AD29" s="0" t="n">
        <f aca="false">IF(COUNTIF(M29:V29,$C29)&gt;0,1,0)</f>
        <v>0</v>
      </c>
      <c r="AE29" s="0" t="n">
        <f aca="false">IFERROR(MATCH(1,INDEX(--(COUNTIF($C29:$L29,M29:V29)&gt;0),0),0),"")</f>
        <v>4</v>
      </c>
      <c r="AF29" s="0" t="n">
        <v>7918</v>
      </c>
    </row>
    <row r="30" customFormat="false" ht="15" hidden="false" customHeight="false" outlineLevel="0" collapsed="false">
      <c r="A30" s="0" t="s">
        <v>88</v>
      </c>
      <c r="B30" s="0" t="s">
        <v>89</v>
      </c>
      <c r="C30" s="0" t="n">
        <v>158633</v>
      </c>
      <c r="D30" s="0" t="n">
        <v>169387</v>
      </c>
      <c r="E30" s="0" t="n">
        <v>39709</v>
      </c>
      <c r="F30" s="0" t="n">
        <v>102436</v>
      </c>
      <c r="G30" s="0" t="n">
        <v>156385</v>
      </c>
      <c r="H30" s="0" t="n">
        <v>195000</v>
      </c>
      <c r="I30" s="0" t="n">
        <v>13347</v>
      </c>
      <c r="J30" s="0" t="n">
        <v>154833</v>
      </c>
      <c r="K30" s="0" t="n">
        <v>151856</v>
      </c>
      <c r="L30" s="0" t="n">
        <v>195004</v>
      </c>
      <c r="M30" s="0" t="n">
        <v>158633</v>
      </c>
      <c r="N30" s="0" t="n">
        <v>107684</v>
      </c>
      <c r="O30" s="0" t="n">
        <v>39580</v>
      </c>
      <c r="P30" s="0" t="n">
        <v>24076</v>
      </c>
      <c r="Q30" s="0" t="n">
        <v>145064</v>
      </c>
      <c r="R30" s="0" t="n">
        <v>3814</v>
      </c>
      <c r="S30" s="0" t="n">
        <v>194999</v>
      </c>
      <c r="T30" s="0" t="n">
        <v>170502</v>
      </c>
      <c r="U30" s="0" t="n">
        <v>35869</v>
      </c>
      <c r="V30" s="0" t="n">
        <v>158800</v>
      </c>
      <c r="W30" s="0" t="n">
        <f aca="false">IF(SUMPRODUCT(COUNTIF($C30:$L30,M30:M30))&gt;0,1,0)</f>
        <v>1</v>
      </c>
      <c r="X30" s="0" t="n">
        <f aca="false">IF(SUMPRODUCT(COUNTIF($C30:$L30,M30:O30))&gt;0,1,0)</f>
        <v>1</v>
      </c>
      <c r="Y30" s="0" t="n">
        <f aca="false">IF(SUMPRODUCT(COUNTIF($C30:$L30,M30:Q30))&gt;0,1,0)</f>
        <v>1</v>
      </c>
      <c r="Z30" s="0" t="n">
        <f aca="false">IF(SUMPRODUCT(COUNTIF($C30:$L30,M30:V30))&gt;0,1,0)</f>
        <v>1</v>
      </c>
      <c r="AA30" s="0" t="n">
        <f aca="false">IF(COUNTIF(M30:M30,$C30)&gt;0,1,0)</f>
        <v>1</v>
      </c>
      <c r="AB30" s="0" t="n">
        <f aca="false">IF(COUNTIF(M30:O30,$C30)&gt;0,1,0)</f>
        <v>1</v>
      </c>
      <c r="AC30" s="0" t="n">
        <f aca="false">IF(COUNTIF(M30:Q30,$C30)&gt;0,1,0)</f>
        <v>1</v>
      </c>
      <c r="AD30" s="0" t="n">
        <f aca="false">IF(COUNTIF(M30:V30,$C30)&gt;0,1,0)</f>
        <v>1</v>
      </c>
      <c r="AE30" s="0" t="n">
        <f aca="false">IFERROR(MATCH(1,INDEX(--(COUNTIF($C30:$L30,M30:V30)&gt;0),0),0),"")</f>
        <v>1</v>
      </c>
      <c r="AF30" s="0" t="n">
        <v>1912</v>
      </c>
    </row>
    <row r="31" customFormat="false" ht="15" hidden="false" customHeight="false" outlineLevel="0" collapsed="false">
      <c r="A31" s="0" t="s">
        <v>90</v>
      </c>
      <c r="B31" s="0" t="s">
        <v>91</v>
      </c>
      <c r="C31" s="0" t="n">
        <v>29990</v>
      </c>
      <c r="D31" s="0" t="n">
        <v>158033</v>
      </c>
      <c r="E31" s="0" t="n">
        <v>93388</v>
      </c>
      <c r="F31" s="0" t="n">
        <v>185955</v>
      </c>
      <c r="G31" s="0" t="n">
        <v>193434</v>
      </c>
      <c r="H31" s="0" t="n">
        <v>184280</v>
      </c>
      <c r="I31" s="0" t="n">
        <v>168595</v>
      </c>
      <c r="J31" s="0" t="n">
        <v>122095</v>
      </c>
      <c r="K31" s="0" t="n">
        <v>164947</v>
      </c>
      <c r="L31" s="0" t="n">
        <v>196415</v>
      </c>
      <c r="M31" s="0" t="n">
        <v>168510</v>
      </c>
      <c r="N31" s="0" t="n">
        <v>48139</v>
      </c>
      <c r="O31" s="0" t="n">
        <v>47397</v>
      </c>
      <c r="P31" s="0" t="n">
        <v>151293</v>
      </c>
      <c r="Q31" s="0" t="n">
        <v>168595</v>
      </c>
      <c r="R31" s="0" t="n">
        <v>63497</v>
      </c>
      <c r="S31" s="0" t="n">
        <v>93388</v>
      </c>
      <c r="T31" s="0" t="n">
        <v>184635</v>
      </c>
      <c r="U31" s="0" t="n">
        <v>48135</v>
      </c>
      <c r="V31" s="0" t="n">
        <v>184632</v>
      </c>
      <c r="W31" s="0" t="n">
        <f aca="false">IF(SUMPRODUCT(COUNTIF($C31:$L31,M31:M31))&gt;0,1,0)</f>
        <v>0</v>
      </c>
      <c r="X31" s="0" t="n">
        <f aca="false">IF(SUMPRODUCT(COUNTIF($C31:$L31,M31:O31))&gt;0,1,0)</f>
        <v>0</v>
      </c>
      <c r="Y31" s="0" t="n">
        <f aca="false">IF(SUMPRODUCT(COUNTIF($C31:$L31,M31:Q31))&gt;0,1,0)</f>
        <v>1</v>
      </c>
      <c r="Z31" s="0" t="n">
        <f aca="false">IF(SUMPRODUCT(COUNTIF($C31:$L31,M31:V31))&gt;0,1,0)</f>
        <v>1</v>
      </c>
      <c r="AA31" s="0" t="n">
        <f aca="false">IF(COUNTIF(M31:M31,$C31)&gt;0,1,0)</f>
        <v>0</v>
      </c>
      <c r="AB31" s="0" t="n">
        <f aca="false">IF(COUNTIF(M31:O31,$C31)&gt;0,1,0)</f>
        <v>0</v>
      </c>
      <c r="AC31" s="0" t="n">
        <f aca="false">IF(COUNTIF(M31:Q31,$C31)&gt;0,1,0)</f>
        <v>0</v>
      </c>
      <c r="AD31" s="0" t="n">
        <f aca="false">IF(COUNTIF(M31:V31,$C31)&gt;0,1,0)</f>
        <v>0</v>
      </c>
      <c r="AE31" s="0" t="n">
        <f aca="false">IFERROR(MATCH(1,INDEX(--(COUNTIF($C31:$L31,M31:V31)&gt;0),0),0),"")</f>
        <v>5</v>
      </c>
      <c r="AF31" s="0" t="n">
        <v>2834</v>
      </c>
    </row>
    <row r="32" customFormat="false" ht="15" hidden="false" customHeight="false" outlineLevel="0" collapsed="false">
      <c r="A32" s="0" t="s">
        <v>92</v>
      </c>
      <c r="B32" s="0" t="s">
        <v>93</v>
      </c>
      <c r="C32" s="0" t="n">
        <v>96468</v>
      </c>
      <c r="D32" s="0" t="n">
        <v>43847</v>
      </c>
      <c r="E32" s="0" t="n">
        <v>96469</v>
      </c>
      <c r="F32" s="0" t="n">
        <v>96470</v>
      </c>
      <c r="G32" s="0" t="n">
        <v>85132</v>
      </c>
      <c r="H32" s="0" t="n">
        <v>140667</v>
      </c>
      <c r="I32" s="0" t="n">
        <v>147804</v>
      </c>
      <c r="J32" s="0" t="n">
        <v>96466</v>
      </c>
      <c r="K32" s="0" t="n">
        <v>175325</v>
      </c>
      <c r="L32" s="0" t="n">
        <v>96485</v>
      </c>
      <c r="M32" s="0" t="n">
        <v>149416</v>
      </c>
      <c r="N32" s="0" t="n">
        <v>121098</v>
      </c>
      <c r="O32" s="0" t="n">
        <v>75804</v>
      </c>
      <c r="P32" s="0" t="n">
        <v>75612</v>
      </c>
      <c r="Q32" s="0" t="n">
        <v>39706</v>
      </c>
      <c r="R32" s="0" t="n">
        <v>85128</v>
      </c>
      <c r="S32" s="0" t="n">
        <v>75714</v>
      </c>
      <c r="T32" s="0" t="n">
        <v>145568</v>
      </c>
      <c r="U32" s="0" t="n">
        <v>75847</v>
      </c>
      <c r="V32" s="0" t="n">
        <v>104719</v>
      </c>
      <c r="W32" s="0" t="n">
        <f aca="false">IF(SUMPRODUCT(COUNTIF($C32:$L32,M32:M32))&gt;0,1,0)</f>
        <v>0</v>
      </c>
      <c r="X32" s="0" t="n">
        <f aca="false">IF(SUMPRODUCT(COUNTIF($C32:$L32,M32:O32))&gt;0,1,0)</f>
        <v>0</v>
      </c>
      <c r="Y32" s="0" t="n">
        <f aca="false">IF(SUMPRODUCT(COUNTIF($C32:$L32,M32:Q32))&gt;0,1,0)</f>
        <v>0</v>
      </c>
      <c r="Z32" s="0" t="n">
        <f aca="false">IF(SUMPRODUCT(COUNTIF($C32:$L32,M32:V32))&gt;0,1,0)</f>
        <v>0</v>
      </c>
      <c r="AA32" s="0" t="n">
        <f aca="false">IF(COUNTIF(M32:M32,$C32)&gt;0,1,0)</f>
        <v>0</v>
      </c>
      <c r="AB32" s="0" t="n">
        <f aca="false">IF(COUNTIF(M32:O32,$C32)&gt;0,1,0)</f>
        <v>0</v>
      </c>
      <c r="AC32" s="0" t="n">
        <f aca="false">IF(COUNTIF(M32:Q32,$C32)&gt;0,1,0)</f>
        <v>0</v>
      </c>
      <c r="AD32" s="0" t="n">
        <f aca="false">IF(COUNTIF(M32:V32,$C32)&gt;0,1,0)</f>
        <v>0</v>
      </c>
      <c r="AE32" s="0" t="str">
        <f aca="false">IFERROR(MATCH(1,INDEX(--(COUNTIF($C32:$L32,M32:V32)&gt;0),0),0),"")</f>
        <v/>
      </c>
      <c r="AF32" s="0" t="n">
        <v>9461</v>
      </c>
    </row>
    <row r="33" customFormat="false" ht="15" hidden="false" customHeight="false" outlineLevel="0" collapsed="false">
      <c r="A33" s="0" t="s">
        <v>94</v>
      </c>
      <c r="B33" s="0" t="s">
        <v>95</v>
      </c>
      <c r="C33" s="0" t="n">
        <v>61963</v>
      </c>
      <c r="D33" s="0" t="n">
        <v>61969</v>
      </c>
      <c r="E33" s="0" t="n">
        <v>61967</v>
      </c>
      <c r="F33" s="0" t="n">
        <v>176364</v>
      </c>
      <c r="G33" s="0" t="n">
        <v>61966</v>
      </c>
      <c r="H33" s="0" t="n">
        <v>61965</v>
      </c>
      <c r="I33" s="0" t="n">
        <v>61964</v>
      </c>
      <c r="J33" s="0" t="n">
        <v>61968</v>
      </c>
      <c r="K33" s="0" t="n">
        <v>147902</v>
      </c>
      <c r="L33" s="0" t="n">
        <v>78547</v>
      </c>
      <c r="M33" s="0" t="n">
        <v>61969</v>
      </c>
      <c r="N33" s="0" t="n">
        <v>61963</v>
      </c>
      <c r="O33" s="0" t="n">
        <v>61965</v>
      </c>
      <c r="P33" s="0" t="n">
        <v>61967</v>
      </c>
      <c r="Q33" s="0" t="n">
        <v>61966</v>
      </c>
      <c r="R33" s="0" t="n">
        <v>61964</v>
      </c>
      <c r="S33" s="0" t="n">
        <v>3635</v>
      </c>
      <c r="T33" s="0" t="n">
        <v>61968</v>
      </c>
      <c r="U33" s="0" t="n">
        <v>176364</v>
      </c>
      <c r="V33" s="0" t="n">
        <v>3680</v>
      </c>
      <c r="W33" s="0" t="n">
        <f aca="false">IF(SUMPRODUCT(COUNTIF($C33:$L33,M33:M33))&gt;0,1,0)</f>
        <v>1</v>
      </c>
      <c r="X33" s="0" t="n">
        <f aca="false">IF(SUMPRODUCT(COUNTIF($C33:$L33,M33:O33))&gt;0,1,0)</f>
        <v>1</v>
      </c>
      <c r="Y33" s="0" t="n">
        <f aca="false">IF(SUMPRODUCT(COUNTIF($C33:$L33,M33:Q33))&gt;0,1,0)</f>
        <v>1</v>
      </c>
      <c r="Z33" s="0" t="n">
        <f aca="false">IF(SUMPRODUCT(COUNTIF($C33:$L33,M33:V33))&gt;0,1,0)</f>
        <v>1</v>
      </c>
      <c r="AA33" s="0" t="n">
        <f aca="false">IF(COUNTIF(M33:M33,$C33)&gt;0,1,0)</f>
        <v>0</v>
      </c>
      <c r="AB33" s="0" t="n">
        <f aca="false">IF(COUNTIF(M33:O33,$C33)&gt;0,1,0)</f>
        <v>1</v>
      </c>
      <c r="AC33" s="0" t="n">
        <f aca="false">IF(COUNTIF(M33:Q33,$C33)&gt;0,1,0)</f>
        <v>1</v>
      </c>
      <c r="AD33" s="0" t="n">
        <f aca="false">IF(COUNTIF(M33:V33,$C33)&gt;0,1,0)</f>
        <v>1</v>
      </c>
      <c r="AE33" s="0" t="n">
        <f aca="false">IFERROR(MATCH(1,INDEX(--(COUNTIF($C33:$L33,M33:V33)&gt;0),0),0),"")</f>
        <v>1</v>
      </c>
      <c r="AF33" s="0" t="n">
        <v>4193</v>
      </c>
    </row>
    <row r="34" customFormat="false" ht="15" hidden="false" customHeight="false" outlineLevel="0" collapsed="false">
      <c r="A34" s="0" t="s">
        <v>96</v>
      </c>
      <c r="B34" s="0" t="s">
        <v>97</v>
      </c>
      <c r="C34" s="0" t="n">
        <v>127496</v>
      </c>
      <c r="D34" s="0" t="n">
        <v>199353</v>
      </c>
      <c r="E34" s="0" t="n">
        <v>107945</v>
      </c>
      <c r="F34" s="0" t="n">
        <v>196082</v>
      </c>
      <c r="G34" s="0" t="n">
        <v>148682</v>
      </c>
      <c r="H34" s="0" t="n">
        <v>157610</v>
      </c>
      <c r="I34" s="0" t="n">
        <v>134878</v>
      </c>
      <c r="J34" s="0" t="n">
        <v>109274</v>
      </c>
      <c r="K34" s="0" t="n">
        <v>127499</v>
      </c>
      <c r="L34" s="0" t="n">
        <v>134881</v>
      </c>
      <c r="M34" s="0" t="n">
        <v>127496</v>
      </c>
      <c r="N34" s="0" t="n">
        <v>199353</v>
      </c>
      <c r="O34" s="0" t="n">
        <v>134878</v>
      </c>
      <c r="P34" s="0" t="n">
        <v>109274</v>
      </c>
      <c r="Q34" s="0" t="n">
        <v>119406</v>
      </c>
      <c r="R34" s="0" t="n">
        <v>107945</v>
      </c>
      <c r="S34" s="0" t="n">
        <v>131336</v>
      </c>
      <c r="T34" s="0" t="n">
        <v>99310</v>
      </c>
      <c r="U34" s="0" t="n">
        <v>134881</v>
      </c>
      <c r="V34" s="0" t="n">
        <v>151692</v>
      </c>
      <c r="W34" s="0" t="n">
        <f aca="false">IF(SUMPRODUCT(COUNTIF($C34:$L34,M34:M34))&gt;0,1,0)</f>
        <v>1</v>
      </c>
      <c r="X34" s="0" t="n">
        <f aca="false">IF(SUMPRODUCT(COUNTIF($C34:$L34,M34:O34))&gt;0,1,0)</f>
        <v>1</v>
      </c>
      <c r="Y34" s="0" t="n">
        <f aca="false">IF(SUMPRODUCT(COUNTIF($C34:$L34,M34:Q34))&gt;0,1,0)</f>
        <v>1</v>
      </c>
      <c r="Z34" s="0" t="n">
        <f aca="false">IF(SUMPRODUCT(COUNTIF($C34:$L34,M34:V34))&gt;0,1,0)</f>
        <v>1</v>
      </c>
      <c r="AA34" s="0" t="n">
        <f aca="false">IF(COUNTIF(M34:M34,$C34)&gt;0,1,0)</f>
        <v>1</v>
      </c>
      <c r="AB34" s="0" t="n">
        <f aca="false">IF(COUNTIF(M34:O34,$C34)&gt;0,1,0)</f>
        <v>1</v>
      </c>
      <c r="AC34" s="0" t="n">
        <f aca="false">IF(COUNTIF(M34:Q34,$C34)&gt;0,1,0)</f>
        <v>1</v>
      </c>
      <c r="AD34" s="0" t="n">
        <f aca="false">IF(COUNTIF(M34:V34,$C34)&gt;0,1,0)</f>
        <v>1</v>
      </c>
      <c r="AE34" s="0" t="n">
        <f aca="false">IFERROR(MATCH(1,INDEX(--(COUNTIF($C34:$L34,M34:V34)&gt;0),0),0),"")</f>
        <v>1</v>
      </c>
      <c r="AF34" s="0" t="n">
        <v>7280</v>
      </c>
    </row>
    <row r="35" customFormat="false" ht="15" hidden="false" customHeight="false" outlineLevel="0" collapsed="false">
      <c r="A35" s="0" t="s">
        <v>98</v>
      </c>
      <c r="B35" s="0" t="s">
        <v>99</v>
      </c>
      <c r="C35" s="0" t="n">
        <v>127496</v>
      </c>
      <c r="D35" s="0" t="n">
        <v>29018</v>
      </c>
      <c r="E35" s="0" t="n">
        <v>45895</v>
      </c>
      <c r="F35" s="0" t="n">
        <v>134878</v>
      </c>
      <c r="G35" s="0" t="n">
        <v>134881</v>
      </c>
      <c r="H35" s="0" t="n">
        <v>170690</v>
      </c>
      <c r="I35" s="0" t="n">
        <v>127500</v>
      </c>
      <c r="J35" s="0" t="n">
        <v>125573</v>
      </c>
      <c r="K35" s="0" t="n">
        <v>55352</v>
      </c>
      <c r="L35" s="0" t="n">
        <v>125511</v>
      </c>
      <c r="M35" s="0" t="n">
        <v>153405</v>
      </c>
      <c r="N35" s="0" t="n">
        <v>29018</v>
      </c>
      <c r="O35" s="0" t="n">
        <v>141707</v>
      </c>
      <c r="P35" s="0" t="n">
        <v>163255</v>
      </c>
      <c r="Q35" s="0" t="n">
        <v>158818</v>
      </c>
      <c r="R35" s="0" t="n">
        <v>161746</v>
      </c>
      <c r="S35" s="0" t="n">
        <v>122097</v>
      </c>
      <c r="T35" s="0" t="n">
        <v>127500</v>
      </c>
      <c r="U35" s="0" t="n">
        <v>190738</v>
      </c>
      <c r="V35" s="0" t="n">
        <v>11783</v>
      </c>
      <c r="W35" s="0" t="n">
        <f aca="false">IF(SUMPRODUCT(COUNTIF($C35:$L35,M35:M35))&gt;0,1,0)</f>
        <v>0</v>
      </c>
      <c r="X35" s="0" t="n">
        <f aca="false">IF(SUMPRODUCT(COUNTIF($C35:$L35,M35:O35))&gt;0,1,0)</f>
        <v>1</v>
      </c>
      <c r="Y35" s="0" t="n">
        <f aca="false">IF(SUMPRODUCT(COUNTIF($C35:$L35,M35:Q35))&gt;0,1,0)</f>
        <v>1</v>
      </c>
      <c r="Z35" s="0" t="n">
        <f aca="false">IF(SUMPRODUCT(COUNTIF($C35:$L35,M35:V35))&gt;0,1,0)</f>
        <v>1</v>
      </c>
      <c r="AA35" s="0" t="n">
        <f aca="false">IF(COUNTIF(M35:M35,$C35)&gt;0,1,0)</f>
        <v>0</v>
      </c>
      <c r="AB35" s="0" t="n">
        <f aca="false">IF(COUNTIF(M35:O35,$C35)&gt;0,1,0)</f>
        <v>0</v>
      </c>
      <c r="AC35" s="0" t="n">
        <f aca="false">IF(COUNTIF(M35:Q35,$C35)&gt;0,1,0)</f>
        <v>0</v>
      </c>
      <c r="AD35" s="0" t="n">
        <f aca="false">IF(COUNTIF(M35:V35,$C35)&gt;0,1,0)</f>
        <v>0</v>
      </c>
      <c r="AE35" s="0" t="n">
        <f aca="false">IFERROR(MATCH(1,INDEX(--(COUNTIF($C35:$L35,M35:V35)&gt;0),0),0),"")</f>
        <v>2</v>
      </c>
      <c r="AF35" s="0" t="n">
        <v>5842</v>
      </c>
    </row>
    <row r="36" customFormat="false" ht="15" hidden="false" customHeight="false" outlineLevel="0" collapsed="false">
      <c r="A36" s="0" t="s">
        <v>100</v>
      </c>
      <c r="B36" s="0" t="s">
        <v>101</v>
      </c>
      <c r="C36" s="0" t="n">
        <v>47027</v>
      </c>
      <c r="D36" s="0" t="n">
        <v>148489</v>
      </c>
      <c r="E36" s="0" t="n">
        <v>23172</v>
      </c>
      <c r="F36" s="0" t="n">
        <v>75348</v>
      </c>
      <c r="G36" s="0" t="n">
        <v>56737</v>
      </c>
      <c r="H36" s="0" t="n">
        <v>56736</v>
      </c>
      <c r="I36" s="0" t="n">
        <v>47026</v>
      </c>
      <c r="J36" s="0" t="n">
        <v>47024</v>
      </c>
      <c r="K36" s="0" t="n">
        <v>47028</v>
      </c>
      <c r="L36" s="0" t="n">
        <v>47012</v>
      </c>
      <c r="M36" s="0" t="n">
        <v>23172</v>
      </c>
      <c r="N36" s="0" t="n">
        <v>148489</v>
      </c>
      <c r="O36" s="0" t="n">
        <v>47027</v>
      </c>
      <c r="P36" s="0" t="n">
        <v>47028</v>
      </c>
      <c r="Q36" s="0" t="n">
        <v>47026</v>
      </c>
      <c r="R36" s="0" t="n">
        <v>148575</v>
      </c>
      <c r="S36" s="0" t="n">
        <v>47012</v>
      </c>
      <c r="T36" s="0" t="n">
        <v>47030</v>
      </c>
      <c r="U36" s="0" t="n">
        <v>47022</v>
      </c>
      <c r="V36" s="0" t="n">
        <v>47021</v>
      </c>
      <c r="W36" s="0" t="n">
        <f aca="false">IF(SUMPRODUCT(COUNTIF($C36:$L36,M36:M36))&gt;0,1,0)</f>
        <v>1</v>
      </c>
      <c r="X36" s="0" t="n">
        <f aca="false">IF(SUMPRODUCT(COUNTIF($C36:$L36,M36:O36))&gt;0,1,0)</f>
        <v>1</v>
      </c>
      <c r="Y36" s="0" t="n">
        <f aca="false">IF(SUMPRODUCT(COUNTIF($C36:$L36,M36:Q36))&gt;0,1,0)</f>
        <v>1</v>
      </c>
      <c r="Z36" s="0" t="n">
        <f aca="false">IF(SUMPRODUCT(COUNTIF($C36:$L36,M36:V36))&gt;0,1,0)</f>
        <v>1</v>
      </c>
      <c r="AA36" s="0" t="n">
        <f aca="false">IF(COUNTIF(M36:M36,$C36)&gt;0,1,0)</f>
        <v>0</v>
      </c>
      <c r="AB36" s="0" t="n">
        <f aca="false">IF(COUNTIF(M36:O36,$C36)&gt;0,1,0)</f>
        <v>1</v>
      </c>
      <c r="AC36" s="0" t="n">
        <f aca="false">IF(COUNTIF(M36:Q36,$C36)&gt;0,1,0)</f>
        <v>1</v>
      </c>
      <c r="AD36" s="0" t="n">
        <f aca="false">IF(COUNTIF(M36:V36,$C36)&gt;0,1,0)</f>
        <v>1</v>
      </c>
      <c r="AE36" s="0" t="n">
        <f aca="false">IFERROR(MATCH(1,INDEX(--(COUNTIF($C36:$L36,M36:V36)&gt;0),0),0),"")</f>
        <v>1</v>
      </c>
      <c r="AF36" s="0" t="n">
        <v>5143</v>
      </c>
    </row>
    <row r="37" customFormat="false" ht="15" hidden="false" customHeight="false" outlineLevel="0" collapsed="false">
      <c r="A37" s="0" t="s">
        <v>102</v>
      </c>
      <c r="B37" s="0" t="s">
        <v>103</v>
      </c>
      <c r="C37" s="0" t="n">
        <v>164404</v>
      </c>
      <c r="D37" s="0" t="n">
        <v>164406</v>
      </c>
      <c r="E37" s="0" t="n">
        <v>37826</v>
      </c>
      <c r="F37" s="0" t="n">
        <v>37828</v>
      </c>
      <c r="G37" s="0" t="n">
        <v>37825</v>
      </c>
      <c r="H37" s="0" t="n">
        <v>37827</v>
      </c>
      <c r="I37" s="0" t="n">
        <v>169454</v>
      </c>
      <c r="J37" s="0" t="n">
        <v>148211</v>
      </c>
      <c r="K37" s="0" t="n">
        <v>37829</v>
      </c>
      <c r="L37" s="0" t="n">
        <v>39424</v>
      </c>
      <c r="M37" s="0" t="n">
        <v>37829</v>
      </c>
      <c r="N37" s="0" t="n">
        <v>37826</v>
      </c>
      <c r="O37" s="0" t="n">
        <v>148211</v>
      </c>
      <c r="P37" s="0" t="n">
        <v>37828</v>
      </c>
      <c r="Q37" s="0" t="n">
        <v>164404</v>
      </c>
      <c r="R37" s="0" t="n">
        <v>37481</v>
      </c>
      <c r="S37" s="0" t="n">
        <v>164406</v>
      </c>
      <c r="T37" s="0" t="n">
        <v>37825</v>
      </c>
      <c r="U37" s="0" t="n">
        <v>169454</v>
      </c>
      <c r="V37" s="0" t="n">
        <v>144294</v>
      </c>
      <c r="W37" s="0" t="n">
        <f aca="false">IF(SUMPRODUCT(COUNTIF($C37:$L37,M37:M37))&gt;0,1,0)</f>
        <v>1</v>
      </c>
      <c r="X37" s="0" t="n">
        <f aca="false">IF(SUMPRODUCT(COUNTIF($C37:$L37,M37:O37))&gt;0,1,0)</f>
        <v>1</v>
      </c>
      <c r="Y37" s="0" t="n">
        <f aca="false">IF(SUMPRODUCT(COUNTIF($C37:$L37,M37:Q37))&gt;0,1,0)</f>
        <v>1</v>
      </c>
      <c r="Z37" s="0" t="n">
        <f aca="false">IF(SUMPRODUCT(COUNTIF($C37:$L37,M37:V37))&gt;0,1,0)</f>
        <v>1</v>
      </c>
      <c r="AA37" s="0" t="n">
        <f aca="false">IF(COUNTIF(M37:M37,$C37)&gt;0,1,0)</f>
        <v>0</v>
      </c>
      <c r="AB37" s="0" t="n">
        <f aca="false">IF(COUNTIF(M37:O37,$C37)&gt;0,1,0)</f>
        <v>0</v>
      </c>
      <c r="AC37" s="0" t="n">
        <f aca="false">IF(COUNTIF(M37:Q37,$C37)&gt;0,1,0)</f>
        <v>1</v>
      </c>
      <c r="AD37" s="0" t="n">
        <f aca="false">IF(COUNTIF(M37:V37,$C37)&gt;0,1,0)</f>
        <v>1</v>
      </c>
      <c r="AE37" s="0" t="n">
        <f aca="false">IFERROR(MATCH(1,INDEX(--(COUNTIF($C37:$L37,M37:V37)&gt;0),0),0),"")</f>
        <v>1</v>
      </c>
      <c r="AF37" s="0" t="n">
        <v>8826</v>
      </c>
    </row>
    <row r="38" customFormat="false" ht="15" hidden="false" customHeight="false" outlineLevel="0" collapsed="false">
      <c r="A38" s="0" t="s">
        <v>104</v>
      </c>
      <c r="B38" s="0" t="s">
        <v>105</v>
      </c>
      <c r="C38" s="0" t="n">
        <v>173619</v>
      </c>
      <c r="D38" s="0" t="n">
        <v>114985</v>
      </c>
      <c r="E38" s="0" t="n">
        <v>118550</v>
      </c>
      <c r="F38" s="0" t="n">
        <v>170202</v>
      </c>
      <c r="G38" s="0" t="n">
        <v>17470</v>
      </c>
      <c r="H38" s="0" t="n">
        <v>170171</v>
      </c>
      <c r="I38" s="0" t="n">
        <v>41287</v>
      </c>
      <c r="J38" s="0" t="n">
        <v>121535</v>
      </c>
      <c r="K38" s="0" t="n">
        <v>194521</v>
      </c>
      <c r="L38" s="0" t="n">
        <v>170187</v>
      </c>
      <c r="M38" s="0" t="n">
        <v>158072</v>
      </c>
      <c r="N38" s="0" t="n">
        <v>104419</v>
      </c>
      <c r="O38" s="0" t="n">
        <v>36788</v>
      </c>
      <c r="P38" s="0" t="n">
        <v>18058</v>
      </c>
      <c r="Q38" s="0" t="n">
        <v>18056</v>
      </c>
      <c r="R38" s="0" t="n">
        <v>18055</v>
      </c>
      <c r="S38" s="0" t="n">
        <v>148489</v>
      </c>
      <c r="T38" s="0" t="n">
        <v>173619</v>
      </c>
      <c r="U38" s="0" t="n">
        <v>158353</v>
      </c>
      <c r="V38" s="0" t="n">
        <v>154837</v>
      </c>
      <c r="W38" s="0" t="n">
        <f aca="false">IF(SUMPRODUCT(COUNTIF($C38:$L38,M38:M38))&gt;0,1,0)</f>
        <v>0</v>
      </c>
      <c r="X38" s="0" t="n">
        <f aca="false">IF(SUMPRODUCT(COUNTIF($C38:$L38,M38:O38))&gt;0,1,0)</f>
        <v>0</v>
      </c>
      <c r="Y38" s="0" t="n">
        <f aca="false">IF(SUMPRODUCT(COUNTIF($C38:$L38,M38:Q38))&gt;0,1,0)</f>
        <v>0</v>
      </c>
      <c r="Z38" s="0" t="n">
        <f aca="false">IF(SUMPRODUCT(COUNTIF($C38:$L38,M38:V38))&gt;0,1,0)</f>
        <v>1</v>
      </c>
      <c r="AA38" s="0" t="n">
        <f aca="false">IF(COUNTIF(M38:M38,$C38)&gt;0,1,0)</f>
        <v>0</v>
      </c>
      <c r="AB38" s="0" t="n">
        <f aca="false">IF(COUNTIF(M38:O38,$C38)&gt;0,1,0)</f>
        <v>0</v>
      </c>
      <c r="AC38" s="0" t="n">
        <f aca="false">IF(COUNTIF(M38:Q38,$C38)&gt;0,1,0)</f>
        <v>0</v>
      </c>
      <c r="AD38" s="0" t="n">
        <f aca="false">IF(COUNTIF(M38:V38,$C38)&gt;0,1,0)</f>
        <v>1</v>
      </c>
      <c r="AE38" s="0" t="n">
        <f aca="false">IFERROR(MATCH(1,INDEX(--(COUNTIF($C38:$L38,M38:V38)&gt;0),0),0),"")</f>
        <v>8</v>
      </c>
      <c r="AF38" s="0" t="n">
        <v>8532</v>
      </c>
    </row>
    <row r="39" customFormat="false" ht="15" hidden="false" customHeight="false" outlineLevel="0" collapsed="false">
      <c r="A39" s="0" t="s">
        <v>106</v>
      </c>
      <c r="B39" s="0" t="s">
        <v>107</v>
      </c>
      <c r="C39" s="0" t="n">
        <v>147900</v>
      </c>
      <c r="D39" s="0" t="n">
        <v>167769</v>
      </c>
      <c r="E39" s="0" t="n">
        <v>141650</v>
      </c>
      <c r="F39" s="0" t="n">
        <v>97415</v>
      </c>
      <c r="G39" s="0" t="n">
        <v>161600</v>
      </c>
      <c r="H39" s="0" t="n">
        <v>142003</v>
      </c>
      <c r="I39" s="0" t="n">
        <v>140560</v>
      </c>
      <c r="J39" s="0" t="n">
        <v>107978</v>
      </c>
      <c r="K39" s="0" t="n">
        <v>120271</v>
      </c>
      <c r="L39" s="0" t="n">
        <v>146332</v>
      </c>
      <c r="M39" s="0" t="n">
        <v>3939</v>
      </c>
      <c r="N39" s="0" t="n">
        <v>3673</v>
      </c>
      <c r="O39" s="0" t="n">
        <v>148163</v>
      </c>
      <c r="P39" s="0" t="n">
        <v>140561</v>
      </c>
      <c r="Q39" s="0" t="n">
        <v>161600</v>
      </c>
      <c r="R39" s="0" t="n">
        <v>147901</v>
      </c>
      <c r="S39" s="0" t="n">
        <v>185676</v>
      </c>
      <c r="T39" s="0" t="n">
        <v>12106</v>
      </c>
      <c r="U39" s="0" t="n">
        <v>175982</v>
      </c>
      <c r="V39" s="0" t="n">
        <v>127042</v>
      </c>
      <c r="W39" s="0" t="n">
        <f aca="false">IF(SUMPRODUCT(COUNTIF($C39:$L39,M39:M39))&gt;0,1,0)</f>
        <v>0</v>
      </c>
      <c r="X39" s="0" t="n">
        <f aca="false">IF(SUMPRODUCT(COUNTIF($C39:$L39,M39:O39))&gt;0,1,0)</f>
        <v>0</v>
      </c>
      <c r="Y39" s="0" t="n">
        <f aca="false">IF(SUMPRODUCT(COUNTIF($C39:$L39,M39:Q39))&gt;0,1,0)</f>
        <v>1</v>
      </c>
      <c r="Z39" s="0" t="n">
        <f aca="false">IF(SUMPRODUCT(COUNTIF($C39:$L39,M39:V39))&gt;0,1,0)</f>
        <v>1</v>
      </c>
      <c r="AA39" s="0" t="n">
        <f aca="false">IF(COUNTIF(M39:M39,$C39)&gt;0,1,0)</f>
        <v>0</v>
      </c>
      <c r="AB39" s="0" t="n">
        <f aca="false">IF(COUNTIF(M39:O39,$C39)&gt;0,1,0)</f>
        <v>0</v>
      </c>
      <c r="AC39" s="0" t="n">
        <f aca="false">IF(COUNTIF(M39:Q39,$C39)&gt;0,1,0)</f>
        <v>0</v>
      </c>
      <c r="AD39" s="0" t="n">
        <f aca="false">IF(COUNTIF(M39:V39,$C39)&gt;0,1,0)</f>
        <v>0</v>
      </c>
      <c r="AE39" s="0" t="n">
        <f aca="false">IFERROR(MATCH(1,INDEX(--(COUNTIF($C39:$L39,M39:V39)&gt;0),0),0),"")</f>
        <v>5</v>
      </c>
      <c r="AF39" s="0" t="n">
        <v>8260</v>
      </c>
    </row>
    <row r="40" customFormat="false" ht="15" hidden="false" customHeight="false" outlineLevel="0" collapsed="false">
      <c r="A40" s="0" t="s">
        <v>108</v>
      </c>
      <c r="B40" s="0" t="s">
        <v>109</v>
      </c>
      <c r="C40" s="0" t="n">
        <v>42784</v>
      </c>
      <c r="D40" s="0" t="n">
        <v>170508</v>
      </c>
      <c r="E40" s="0" t="n">
        <v>35866</v>
      </c>
      <c r="F40" s="0" t="n">
        <v>48139</v>
      </c>
      <c r="G40" s="0" t="n">
        <v>120517</v>
      </c>
      <c r="H40" s="0" t="n">
        <v>35873</v>
      </c>
      <c r="I40" s="0" t="n">
        <v>107296</v>
      </c>
      <c r="J40" s="0" t="n">
        <v>181929</v>
      </c>
      <c r="K40" s="0" t="n">
        <v>184640</v>
      </c>
      <c r="L40" s="0" t="n">
        <v>109403</v>
      </c>
      <c r="M40" s="0" t="n">
        <v>48139</v>
      </c>
      <c r="N40" s="0" t="n">
        <v>42784</v>
      </c>
      <c r="O40" s="0" t="n">
        <v>35339</v>
      </c>
      <c r="P40" s="0" t="n">
        <v>164952</v>
      </c>
      <c r="Q40" s="0" t="n">
        <v>120517</v>
      </c>
      <c r="R40" s="0" t="n">
        <v>194991</v>
      </c>
      <c r="S40" s="0" t="n">
        <v>158461</v>
      </c>
      <c r="T40" s="0" t="n">
        <v>181929</v>
      </c>
      <c r="U40" s="0" t="n">
        <v>35862</v>
      </c>
      <c r="V40" s="0" t="n">
        <v>120611</v>
      </c>
      <c r="W40" s="0" t="n">
        <f aca="false">IF(SUMPRODUCT(COUNTIF($C40:$L40,M40:M40))&gt;0,1,0)</f>
        <v>1</v>
      </c>
      <c r="X40" s="0" t="n">
        <f aca="false">IF(SUMPRODUCT(COUNTIF($C40:$L40,M40:O40))&gt;0,1,0)</f>
        <v>1</v>
      </c>
      <c r="Y40" s="0" t="n">
        <f aca="false">IF(SUMPRODUCT(COUNTIF($C40:$L40,M40:Q40))&gt;0,1,0)</f>
        <v>1</v>
      </c>
      <c r="Z40" s="0" t="n">
        <f aca="false">IF(SUMPRODUCT(COUNTIF($C40:$L40,M40:V40))&gt;0,1,0)</f>
        <v>1</v>
      </c>
      <c r="AA40" s="0" t="n">
        <f aca="false">IF(COUNTIF(M40:M40,$C40)&gt;0,1,0)</f>
        <v>0</v>
      </c>
      <c r="AB40" s="0" t="n">
        <f aca="false">IF(COUNTIF(M40:O40,$C40)&gt;0,1,0)</f>
        <v>1</v>
      </c>
      <c r="AC40" s="0" t="n">
        <f aca="false">IF(COUNTIF(M40:Q40,$C40)&gt;0,1,0)</f>
        <v>1</v>
      </c>
      <c r="AD40" s="0" t="n">
        <f aca="false">IF(COUNTIF(M40:V40,$C40)&gt;0,1,0)</f>
        <v>1</v>
      </c>
      <c r="AE40" s="0" t="n">
        <f aca="false">IFERROR(MATCH(1,INDEX(--(COUNTIF($C40:$L40,M40:V40)&gt;0),0),0),"")</f>
        <v>1</v>
      </c>
      <c r="AF40" s="0" t="n">
        <v>8460</v>
      </c>
    </row>
    <row r="41" customFormat="false" ht="15" hidden="false" customHeight="false" outlineLevel="0" collapsed="false">
      <c r="A41" s="0" t="s">
        <v>110</v>
      </c>
      <c r="B41" s="0" t="s">
        <v>111</v>
      </c>
      <c r="C41" s="0" t="n">
        <v>114556</v>
      </c>
      <c r="D41" s="0" t="n">
        <v>101448</v>
      </c>
      <c r="E41" s="0" t="n">
        <v>83422</v>
      </c>
      <c r="F41" s="0" t="n">
        <v>151198</v>
      </c>
      <c r="G41" s="0" t="n">
        <v>193117</v>
      </c>
      <c r="H41" s="0" t="n">
        <v>101446</v>
      </c>
      <c r="I41" s="0" t="n">
        <v>170051</v>
      </c>
      <c r="J41" s="0" t="n">
        <v>199324</v>
      </c>
      <c r="K41" s="0" t="n">
        <v>174994</v>
      </c>
      <c r="L41" s="0" t="n">
        <v>83046</v>
      </c>
      <c r="M41" s="0" t="n">
        <v>6292</v>
      </c>
      <c r="N41" s="0" t="n">
        <v>114556</v>
      </c>
      <c r="O41" s="0" t="n">
        <v>151690</v>
      </c>
      <c r="P41" s="0" t="n">
        <v>139547</v>
      </c>
      <c r="Q41" s="0" t="n">
        <v>20524</v>
      </c>
      <c r="R41" s="0" t="n">
        <v>72141</v>
      </c>
      <c r="S41" s="0" t="n">
        <v>104454</v>
      </c>
      <c r="T41" s="0" t="n">
        <v>190838</v>
      </c>
      <c r="U41" s="0" t="n">
        <v>159999</v>
      </c>
      <c r="V41" s="0" t="n">
        <v>20523</v>
      </c>
      <c r="W41" s="0" t="n">
        <f aca="false">IF(SUMPRODUCT(COUNTIF($C41:$L41,M41:M41))&gt;0,1,0)</f>
        <v>0</v>
      </c>
      <c r="X41" s="0" t="n">
        <f aca="false">IF(SUMPRODUCT(COUNTIF($C41:$L41,M41:O41))&gt;0,1,0)</f>
        <v>1</v>
      </c>
      <c r="Y41" s="0" t="n">
        <f aca="false">IF(SUMPRODUCT(COUNTIF($C41:$L41,M41:Q41))&gt;0,1,0)</f>
        <v>1</v>
      </c>
      <c r="Z41" s="0" t="n">
        <f aca="false">IF(SUMPRODUCT(COUNTIF($C41:$L41,M41:V41))&gt;0,1,0)</f>
        <v>1</v>
      </c>
      <c r="AA41" s="0" t="n">
        <f aca="false">IF(COUNTIF(M41:M41,$C41)&gt;0,1,0)</f>
        <v>0</v>
      </c>
      <c r="AB41" s="0" t="n">
        <f aca="false">IF(COUNTIF(M41:O41,$C41)&gt;0,1,0)</f>
        <v>1</v>
      </c>
      <c r="AC41" s="0" t="n">
        <f aca="false">IF(COUNTIF(M41:Q41,$C41)&gt;0,1,0)</f>
        <v>1</v>
      </c>
      <c r="AD41" s="0" t="n">
        <f aca="false">IF(COUNTIF(M41:V41,$C41)&gt;0,1,0)</f>
        <v>1</v>
      </c>
      <c r="AE41" s="0" t="n">
        <f aca="false">IFERROR(MATCH(1,INDEX(--(COUNTIF($C41:$L41,M41:V41)&gt;0),0),0),"")</f>
        <v>2</v>
      </c>
      <c r="AF41" s="0" t="n">
        <v>9186</v>
      </c>
    </row>
    <row r="42" customFormat="false" ht="15" hidden="false" customHeight="false" outlineLevel="0" collapsed="false">
      <c r="A42" s="0" t="s">
        <v>112</v>
      </c>
      <c r="B42" s="0" t="s">
        <v>113</v>
      </c>
      <c r="C42" s="0" t="n">
        <v>142910</v>
      </c>
      <c r="D42" s="0" t="n">
        <v>31522</v>
      </c>
      <c r="E42" s="0" t="n">
        <v>142911</v>
      </c>
      <c r="F42" s="0" t="n">
        <v>153564</v>
      </c>
      <c r="G42" s="0" t="n">
        <v>119115</v>
      </c>
      <c r="H42" s="0" t="n">
        <v>26611</v>
      </c>
      <c r="I42" s="0" t="n">
        <v>190808</v>
      </c>
      <c r="J42" s="0" t="n">
        <v>34085</v>
      </c>
      <c r="K42" s="0" t="n">
        <v>171068</v>
      </c>
      <c r="L42" s="0" t="n">
        <v>34086</v>
      </c>
      <c r="M42" s="0" t="n">
        <v>199647</v>
      </c>
      <c r="N42" s="0" t="n">
        <v>31522</v>
      </c>
      <c r="O42" s="0" t="n">
        <v>142987</v>
      </c>
      <c r="P42" s="0" t="n">
        <v>149794</v>
      </c>
      <c r="Q42" s="0" t="n">
        <v>34085</v>
      </c>
      <c r="R42" s="0" t="n">
        <v>153564</v>
      </c>
      <c r="S42" s="0" t="n">
        <v>190808</v>
      </c>
      <c r="T42" s="0" t="n">
        <v>118928</v>
      </c>
      <c r="U42" s="0" t="n">
        <v>142910</v>
      </c>
      <c r="V42" s="0" t="n">
        <v>148338</v>
      </c>
      <c r="W42" s="0" t="n">
        <f aca="false">IF(SUMPRODUCT(COUNTIF($C42:$L42,M42:M42))&gt;0,1,0)</f>
        <v>0</v>
      </c>
      <c r="X42" s="0" t="n">
        <f aca="false">IF(SUMPRODUCT(COUNTIF($C42:$L42,M42:O42))&gt;0,1,0)</f>
        <v>1</v>
      </c>
      <c r="Y42" s="0" t="n">
        <f aca="false">IF(SUMPRODUCT(COUNTIF($C42:$L42,M42:Q42))&gt;0,1,0)</f>
        <v>1</v>
      </c>
      <c r="Z42" s="0" t="n">
        <f aca="false">IF(SUMPRODUCT(COUNTIF($C42:$L42,M42:V42))&gt;0,1,0)</f>
        <v>1</v>
      </c>
      <c r="AA42" s="0" t="n">
        <f aca="false">IF(COUNTIF(M42:M42,$C42)&gt;0,1,0)</f>
        <v>0</v>
      </c>
      <c r="AB42" s="0" t="n">
        <f aca="false">IF(COUNTIF(M42:O42,$C42)&gt;0,1,0)</f>
        <v>0</v>
      </c>
      <c r="AC42" s="0" t="n">
        <f aca="false">IF(COUNTIF(M42:Q42,$C42)&gt;0,1,0)</f>
        <v>0</v>
      </c>
      <c r="AD42" s="0" t="n">
        <f aca="false">IF(COUNTIF(M42:V42,$C42)&gt;0,1,0)</f>
        <v>1</v>
      </c>
      <c r="AE42" s="0" t="n">
        <f aca="false">IFERROR(MATCH(1,INDEX(--(COUNTIF($C42:$L42,M42:V42)&gt;0),0),0),"")</f>
        <v>2</v>
      </c>
      <c r="AF42" s="0" t="n">
        <v>8810</v>
      </c>
    </row>
    <row r="43" customFormat="false" ht="15" hidden="false" customHeight="false" outlineLevel="0" collapsed="false">
      <c r="A43" s="0" t="s">
        <v>114</v>
      </c>
      <c r="B43" s="0" t="s">
        <v>115</v>
      </c>
      <c r="C43" s="0" t="n">
        <v>170508</v>
      </c>
      <c r="D43" s="0" t="n">
        <v>35866</v>
      </c>
      <c r="E43" s="0" t="n">
        <v>120517</v>
      </c>
      <c r="F43" s="0" t="n">
        <v>48139</v>
      </c>
      <c r="G43" s="0" t="n">
        <v>42784</v>
      </c>
      <c r="H43" s="0" t="n">
        <v>35873</v>
      </c>
      <c r="I43" s="0" t="n">
        <v>109403</v>
      </c>
      <c r="J43" s="0" t="n">
        <v>168609</v>
      </c>
      <c r="K43" s="0" t="n">
        <v>109404</v>
      </c>
      <c r="L43" s="0" t="n">
        <v>168612</v>
      </c>
      <c r="M43" s="0" t="n">
        <v>48139</v>
      </c>
      <c r="N43" s="0" t="n">
        <v>35866</v>
      </c>
      <c r="O43" s="0" t="n">
        <v>42784</v>
      </c>
      <c r="P43" s="0" t="n">
        <v>170508</v>
      </c>
      <c r="Q43" s="0" t="n">
        <v>120517</v>
      </c>
      <c r="R43" s="0" t="n">
        <v>35339</v>
      </c>
      <c r="S43" s="0" t="n">
        <v>35873</v>
      </c>
      <c r="T43" s="0" t="n">
        <v>109404</v>
      </c>
      <c r="U43" s="0" t="n">
        <v>109403</v>
      </c>
      <c r="V43" s="0" t="n">
        <v>194991</v>
      </c>
      <c r="W43" s="0" t="n">
        <f aca="false">IF(SUMPRODUCT(COUNTIF($C43:$L43,M43:M43))&gt;0,1,0)</f>
        <v>1</v>
      </c>
      <c r="X43" s="0" t="n">
        <f aca="false">IF(SUMPRODUCT(COUNTIF($C43:$L43,M43:O43))&gt;0,1,0)</f>
        <v>1</v>
      </c>
      <c r="Y43" s="0" t="n">
        <f aca="false">IF(SUMPRODUCT(COUNTIF($C43:$L43,M43:Q43))&gt;0,1,0)</f>
        <v>1</v>
      </c>
      <c r="Z43" s="0" t="n">
        <f aca="false">IF(SUMPRODUCT(COUNTIF($C43:$L43,M43:V43))&gt;0,1,0)</f>
        <v>1</v>
      </c>
      <c r="AA43" s="0" t="n">
        <f aca="false">IF(COUNTIF(M43:M43,$C43)&gt;0,1,0)</f>
        <v>0</v>
      </c>
      <c r="AB43" s="0" t="n">
        <f aca="false">IF(COUNTIF(M43:O43,$C43)&gt;0,1,0)</f>
        <v>0</v>
      </c>
      <c r="AC43" s="0" t="n">
        <f aca="false">IF(COUNTIF(M43:Q43,$C43)&gt;0,1,0)</f>
        <v>1</v>
      </c>
      <c r="AD43" s="0" t="n">
        <f aca="false">IF(COUNTIF(M43:V43,$C43)&gt;0,1,0)</f>
        <v>1</v>
      </c>
      <c r="AE43" s="0" t="n">
        <f aca="false">IFERROR(MATCH(1,INDEX(--(COUNTIF($C43:$L43,M43:V43)&gt;0),0),0),"")</f>
        <v>1</v>
      </c>
      <c r="AF43" s="0" t="n">
        <v>9237</v>
      </c>
    </row>
    <row r="44" customFormat="false" ht="15" hidden="false" customHeight="false" outlineLevel="0" collapsed="false">
      <c r="A44" s="0" t="s">
        <v>116</v>
      </c>
      <c r="B44" s="0" t="s">
        <v>117</v>
      </c>
      <c r="C44" s="0" t="n">
        <v>120515</v>
      </c>
      <c r="D44" s="0" t="n">
        <v>39713</v>
      </c>
      <c r="E44" s="0" t="n">
        <v>110371</v>
      </c>
      <c r="F44" s="0" t="n">
        <v>107249</v>
      </c>
      <c r="G44" s="0" t="n">
        <v>106920</v>
      </c>
      <c r="H44" s="0" t="n">
        <v>157645</v>
      </c>
      <c r="I44" s="0" t="n">
        <v>106924</v>
      </c>
      <c r="J44" s="0" t="n">
        <v>155538</v>
      </c>
      <c r="K44" s="0" t="n">
        <v>120513</v>
      </c>
      <c r="L44" s="0" t="n">
        <v>99580</v>
      </c>
      <c r="M44" s="0" t="n">
        <v>39713</v>
      </c>
      <c r="N44" s="0" t="n">
        <v>135539</v>
      </c>
      <c r="O44" s="0" t="n">
        <v>151016</v>
      </c>
      <c r="P44" s="0" t="n">
        <v>120515</v>
      </c>
      <c r="Q44" s="0" t="n">
        <v>39706</v>
      </c>
      <c r="R44" s="0" t="n">
        <v>158357</v>
      </c>
      <c r="S44" s="0" t="n">
        <v>159099</v>
      </c>
      <c r="T44" s="0" t="n">
        <v>144588</v>
      </c>
      <c r="U44" s="0" t="n">
        <v>39682</v>
      </c>
      <c r="V44" s="0" t="n">
        <v>18721</v>
      </c>
      <c r="W44" s="0" t="n">
        <f aca="false">IF(SUMPRODUCT(COUNTIF($C44:$L44,M44:M44))&gt;0,1,0)</f>
        <v>1</v>
      </c>
      <c r="X44" s="0" t="n">
        <f aca="false">IF(SUMPRODUCT(COUNTIF($C44:$L44,M44:O44))&gt;0,1,0)</f>
        <v>1</v>
      </c>
      <c r="Y44" s="0" t="n">
        <f aca="false">IF(SUMPRODUCT(COUNTIF($C44:$L44,M44:Q44))&gt;0,1,0)</f>
        <v>1</v>
      </c>
      <c r="Z44" s="0" t="n">
        <f aca="false">IF(SUMPRODUCT(COUNTIF($C44:$L44,M44:V44))&gt;0,1,0)</f>
        <v>1</v>
      </c>
      <c r="AA44" s="0" t="n">
        <f aca="false">IF(COUNTIF(M44:M44,$C44)&gt;0,1,0)</f>
        <v>0</v>
      </c>
      <c r="AB44" s="0" t="n">
        <f aca="false">IF(COUNTIF(M44:O44,$C44)&gt;0,1,0)</f>
        <v>0</v>
      </c>
      <c r="AC44" s="0" t="n">
        <f aca="false">IF(COUNTIF(M44:Q44,$C44)&gt;0,1,0)</f>
        <v>1</v>
      </c>
      <c r="AD44" s="0" t="n">
        <f aca="false">IF(COUNTIF(M44:V44,$C44)&gt;0,1,0)</f>
        <v>1</v>
      </c>
      <c r="AE44" s="0" t="n">
        <f aca="false">IFERROR(MATCH(1,INDEX(--(COUNTIF($C44:$L44,M44:V44)&gt;0),0),0),"")</f>
        <v>1</v>
      </c>
      <c r="AF44" s="0" t="n">
        <v>8555</v>
      </c>
    </row>
    <row r="45" customFormat="false" ht="15" hidden="false" customHeight="false" outlineLevel="0" collapsed="false">
      <c r="A45" s="0" t="s">
        <v>118</v>
      </c>
      <c r="B45" s="0" t="s">
        <v>119</v>
      </c>
      <c r="C45" s="0" t="n">
        <v>132112</v>
      </c>
      <c r="D45" s="0" t="n">
        <v>199353</v>
      </c>
      <c r="E45" s="0" t="n">
        <v>170187</v>
      </c>
      <c r="F45" s="0" t="n">
        <v>107945</v>
      </c>
      <c r="G45" s="0" t="n">
        <v>145234</v>
      </c>
      <c r="H45" s="0" t="n">
        <v>170394</v>
      </c>
      <c r="I45" s="0" t="n">
        <v>170410</v>
      </c>
      <c r="J45" s="0" t="n">
        <v>121535</v>
      </c>
      <c r="K45" s="0" t="n">
        <v>149415</v>
      </c>
      <c r="L45" s="0" t="n">
        <v>58224</v>
      </c>
      <c r="M45" s="0" t="n">
        <v>18721</v>
      </c>
      <c r="N45" s="0" t="n">
        <v>99335</v>
      </c>
      <c r="O45" s="0" t="n">
        <v>11783</v>
      </c>
      <c r="P45" s="0" t="n">
        <v>159103</v>
      </c>
      <c r="Q45" s="0" t="n">
        <v>41673</v>
      </c>
      <c r="R45" s="0" t="n">
        <v>188457</v>
      </c>
      <c r="S45" s="0" t="n">
        <v>121099</v>
      </c>
      <c r="T45" s="0" t="n">
        <v>141312</v>
      </c>
      <c r="U45" s="0" t="n">
        <v>149415</v>
      </c>
      <c r="V45" s="0" t="n">
        <v>121535</v>
      </c>
      <c r="W45" s="0" t="n">
        <f aca="false">IF(SUMPRODUCT(COUNTIF($C45:$L45,M45:M45))&gt;0,1,0)</f>
        <v>0</v>
      </c>
      <c r="X45" s="0" t="n">
        <f aca="false">IF(SUMPRODUCT(COUNTIF($C45:$L45,M45:O45))&gt;0,1,0)</f>
        <v>0</v>
      </c>
      <c r="Y45" s="0" t="n">
        <f aca="false">IF(SUMPRODUCT(COUNTIF($C45:$L45,M45:Q45))&gt;0,1,0)</f>
        <v>0</v>
      </c>
      <c r="Z45" s="0" t="n">
        <f aca="false">IF(SUMPRODUCT(COUNTIF($C45:$L45,M45:V45))&gt;0,1,0)</f>
        <v>1</v>
      </c>
      <c r="AA45" s="0" t="n">
        <f aca="false">IF(COUNTIF(M45:M45,$C45)&gt;0,1,0)</f>
        <v>0</v>
      </c>
      <c r="AB45" s="0" t="n">
        <f aca="false">IF(COUNTIF(M45:O45,$C45)&gt;0,1,0)</f>
        <v>0</v>
      </c>
      <c r="AC45" s="0" t="n">
        <f aca="false">IF(COUNTIF(M45:Q45,$C45)&gt;0,1,0)</f>
        <v>0</v>
      </c>
      <c r="AD45" s="0" t="n">
        <f aca="false">IF(COUNTIF(M45:V45,$C45)&gt;0,1,0)</f>
        <v>0</v>
      </c>
      <c r="AE45" s="0" t="n">
        <f aca="false">IFERROR(MATCH(1,INDEX(--(COUNTIF($C45:$L45,M45:V45)&gt;0),0),0),"")</f>
        <v>9</v>
      </c>
      <c r="AF45" s="0" t="n">
        <v>8341</v>
      </c>
    </row>
    <row r="46" customFormat="false" ht="15" hidden="false" customHeight="false" outlineLevel="0" collapsed="false">
      <c r="A46" s="0" t="s">
        <v>120</v>
      </c>
      <c r="B46" s="0" t="s">
        <v>121</v>
      </c>
      <c r="C46" s="0" t="n">
        <v>179125</v>
      </c>
      <c r="D46" s="0" t="n">
        <v>160427</v>
      </c>
      <c r="E46" s="0" t="n">
        <v>179123</v>
      </c>
      <c r="F46" s="0" t="n">
        <v>159333</v>
      </c>
      <c r="G46" s="0" t="n">
        <v>160429</v>
      </c>
      <c r="H46" s="0" t="n">
        <v>37618</v>
      </c>
      <c r="I46" s="0" t="n">
        <v>179126</v>
      </c>
      <c r="J46" s="0" t="n">
        <v>37626</v>
      </c>
      <c r="K46" s="0" t="n">
        <v>160428</v>
      </c>
      <c r="L46" s="0" t="n">
        <v>147900</v>
      </c>
      <c r="M46" s="0" t="n">
        <v>160429</v>
      </c>
      <c r="N46" s="0" t="n">
        <v>179123</v>
      </c>
      <c r="O46" s="0" t="n">
        <v>160426</v>
      </c>
      <c r="P46" s="0" t="n">
        <v>147900</v>
      </c>
      <c r="Q46" s="0" t="n">
        <v>160428</v>
      </c>
      <c r="R46" s="0" t="n">
        <v>169107</v>
      </c>
      <c r="S46" s="0" t="n">
        <v>169880</v>
      </c>
      <c r="T46" s="0" t="n">
        <v>147901</v>
      </c>
      <c r="U46" s="0" t="n">
        <v>53538</v>
      </c>
      <c r="V46" s="0" t="n">
        <v>160427</v>
      </c>
      <c r="W46" s="0" t="n">
        <f aca="false">IF(SUMPRODUCT(COUNTIF($C46:$L46,M46:M46))&gt;0,1,0)</f>
        <v>1</v>
      </c>
      <c r="X46" s="0" t="n">
        <f aca="false">IF(SUMPRODUCT(COUNTIF($C46:$L46,M46:O46))&gt;0,1,0)</f>
        <v>1</v>
      </c>
      <c r="Y46" s="0" t="n">
        <f aca="false">IF(SUMPRODUCT(COUNTIF($C46:$L46,M46:Q46))&gt;0,1,0)</f>
        <v>1</v>
      </c>
      <c r="Z46" s="0" t="n">
        <f aca="false">IF(SUMPRODUCT(COUNTIF($C46:$L46,M46:V46))&gt;0,1,0)</f>
        <v>1</v>
      </c>
      <c r="AA46" s="0" t="n">
        <f aca="false">IF(COUNTIF(M46:M46,$C46)&gt;0,1,0)</f>
        <v>0</v>
      </c>
      <c r="AB46" s="0" t="n">
        <f aca="false">IF(COUNTIF(M46:O46,$C46)&gt;0,1,0)</f>
        <v>0</v>
      </c>
      <c r="AC46" s="0" t="n">
        <f aca="false">IF(COUNTIF(M46:Q46,$C46)&gt;0,1,0)</f>
        <v>0</v>
      </c>
      <c r="AD46" s="0" t="n">
        <f aca="false">IF(COUNTIF(M46:V46,$C46)&gt;0,1,0)</f>
        <v>0</v>
      </c>
      <c r="AE46" s="0" t="n">
        <f aca="false">IFERROR(MATCH(1,INDEX(--(COUNTIF($C46:$L46,M46:V46)&gt;0),0),0),"")</f>
        <v>1</v>
      </c>
      <c r="AF46" s="0" t="n">
        <v>9352</v>
      </c>
    </row>
    <row r="47" customFormat="false" ht="15" hidden="false" customHeight="false" outlineLevel="0" collapsed="false">
      <c r="A47" s="0" t="s">
        <v>122</v>
      </c>
      <c r="B47" s="0" t="s">
        <v>123</v>
      </c>
      <c r="C47" s="0" t="n">
        <v>17470</v>
      </c>
      <c r="D47" s="0" t="n">
        <v>170202</v>
      </c>
      <c r="E47" s="0" t="n">
        <v>41287</v>
      </c>
      <c r="F47" s="0" t="n">
        <v>114985</v>
      </c>
      <c r="G47" s="0" t="n">
        <v>118550</v>
      </c>
      <c r="H47" s="0" t="n">
        <v>173619</v>
      </c>
      <c r="I47" s="0" t="n">
        <v>194521</v>
      </c>
      <c r="J47" s="0" t="n">
        <v>96459</v>
      </c>
      <c r="K47" s="0" t="n">
        <v>170171</v>
      </c>
      <c r="L47" s="0" t="n">
        <v>96461</v>
      </c>
      <c r="M47" s="0" t="n">
        <v>104419</v>
      </c>
      <c r="N47" s="0" t="n">
        <v>18056</v>
      </c>
      <c r="O47" s="0" t="n">
        <v>158072</v>
      </c>
      <c r="P47" s="0" t="n">
        <v>18057</v>
      </c>
      <c r="Q47" s="0" t="n">
        <v>41228</v>
      </c>
      <c r="R47" s="0" t="n">
        <v>18058</v>
      </c>
      <c r="S47" s="0" t="n">
        <v>18055</v>
      </c>
      <c r="T47" s="0" t="n">
        <v>173619</v>
      </c>
      <c r="U47" s="0" t="n">
        <v>148489</v>
      </c>
      <c r="V47" s="0" t="n">
        <v>165460</v>
      </c>
      <c r="W47" s="0" t="n">
        <f aca="false">IF(SUMPRODUCT(COUNTIF($C47:$L47,M47:M47))&gt;0,1,0)</f>
        <v>0</v>
      </c>
      <c r="X47" s="0" t="n">
        <f aca="false">IF(SUMPRODUCT(COUNTIF($C47:$L47,M47:O47))&gt;0,1,0)</f>
        <v>0</v>
      </c>
      <c r="Y47" s="0" t="n">
        <f aca="false">IF(SUMPRODUCT(COUNTIF($C47:$L47,M47:Q47))&gt;0,1,0)</f>
        <v>0</v>
      </c>
      <c r="Z47" s="0" t="n">
        <f aca="false">IF(SUMPRODUCT(COUNTIF($C47:$L47,M47:V47))&gt;0,1,0)</f>
        <v>1</v>
      </c>
      <c r="AA47" s="0" t="n">
        <f aca="false">IF(COUNTIF(M47:M47,$C47)&gt;0,1,0)</f>
        <v>0</v>
      </c>
      <c r="AB47" s="0" t="n">
        <f aca="false">IF(COUNTIF(M47:O47,$C47)&gt;0,1,0)</f>
        <v>0</v>
      </c>
      <c r="AC47" s="0" t="n">
        <f aca="false">IF(COUNTIF(M47:Q47,$C47)&gt;0,1,0)</f>
        <v>0</v>
      </c>
      <c r="AD47" s="0" t="n">
        <f aca="false">IF(COUNTIF(M47:V47,$C47)&gt;0,1,0)</f>
        <v>0</v>
      </c>
      <c r="AE47" s="0" t="n">
        <f aca="false">IFERROR(MATCH(1,INDEX(--(COUNTIF($C47:$L47,M47:V47)&gt;0),0),0),"")</f>
        <v>8</v>
      </c>
      <c r="AF47" s="0" t="n">
        <v>8662</v>
      </c>
    </row>
    <row r="48" customFormat="false" ht="15" hidden="false" customHeight="false" outlineLevel="0" collapsed="false">
      <c r="A48" s="0" t="s">
        <v>124</v>
      </c>
      <c r="B48" s="0" t="s">
        <v>125</v>
      </c>
      <c r="C48" s="0" t="n">
        <v>39692</v>
      </c>
      <c r="D48" s="0" t="n">
        <v>120491</v>
      </c>
      <c r="E48" s="0" t="n">
        <v>120515</v>
      </c>
      <c r="F48" s="0" t="n">
        <v>39713</v>
      </c>
      <c r="G48" s="0" t="n">
        <v>95789</v>
      </c>
      <c r="H48" s="0" t="n">
        <v>48135</v>
      </c>
      <c r="I48" s="0" t="n">
        <v>154837</v>
      </c>
      <c r="J48" s="0" t="n">
        <v>11982</v>
      </c>
      <c r="K48" s="0" t="n">
        <v>120513</v>
      </c>
      <c r="L48" s="0" t="n">
        <v>37345</v>
      </c>
      <c r="M48" s="0" t="n">
        <v>39713</v>
      </c>
      <c r="N48" s="0" t="n">
        <v>120515</v>
      </c>
      <c r="O48" s="0" t="n">
        <v>155506</v>
      </c>
      <c r="P48" s="0" t="n">
        <v>39692</v>
      </c>
      <c r="Q48" s="0" t="n">
        <v>120513</v>
      </c>
      <c r="R48" s="0" t="n">
        <v>35127</v>
      </c>
      <c r="S48" s="0" t="n">
        <v>154837</v>
      </c>
      <c r="T48" s="0" t="n">
        <v>39696</v>
      </c>
      <c r="U48" s="0" t="n">
        <v>170046</v>
      </c>
      <c r="V48" s="0" t="n">
        <v>120491</v>
      </c>
      <c r="W48" s="0" t="n">
        <f aca="false">IF(SUMPRODUCT(COUNTIF($C48:$L48,M48:M48))&gt;0,1,0)</f>
        <v>1</v>
      </c>
      <c r="X48" s="0" t="n">
        <f aca="false">IF(SUMPRODUCT(COUNTIF($C48:$L48,M48:O48))&gt;0,1,0)</f>
        <v>1</v>
      </c>
      <c r="Y48" s="0" t="n">
        <f aca="false">IF(SUMPRODUCT(COUNTIF($C48:$L48,M48:Q48))&gt;0,1,0)</f>
        <v>1</v>
      </c>
      <c r="Z48" s="0" t="n">
        <f aca="false">IF(SUMPRODUCT(COUNTIF($C48:$L48,M48:V48))&gt;0,1,0)</f>
        <v>1</v>
      </c>
      <c r="AA48" s="0" t="n">
        <f aca="false">IF(COUNTIF(M48:M48,$C48)&gt;0,1,0)</f>
        <v>0</v>
      </c>
      <c r="AB48" s="0" t="n">
        <f aca="false">IF(COUNTIF(M48:O48,$C48)&gt;0,1,0)</f>
        <v>0</v>
      </c>
      <c r="AC48" s="0" t="n">
        <f aca="false">IF(COUNTIF(M48:Q48,$C48)&gt;0,1,0)</f>
        <v>1</v>
      </c>
      <c r="AD48" s="0" t="n">
        <f aca="false">IF(COUNTIF(M48:V48,$C48)&gt;0,1,0)</f>
        <v>1</v>
      </c>
      <c r="AE48" s="0" t="n">
        <f aca="false">IFERROR(MATCH(1,INDEX(--(COUNTIF($C48:$L48,M48:V48)&gt;0),0),0),"")</f>
        <v>1</v>
      </c>
      <c r="AF48" s="0" t="n">
        <v>8543</v>
      </c>
    </row>
    <row r="49" customFormat="false" ht="15" hidden="false" customHeight="false" outlineLevel="0" collapsed="false">
      <c r="A49" s="0" t="s">
        <v>126</v>
      </c>
      <c r="B49" s="0" t="s">
        <v>127</v>
      </c>
      <c r="C49" s="0" t="n">
        <v>107976</v>
      </c>
      <c r="D49" s="0" t="n">
        <v>187499</v>
      </c>
      <c r="E49" s="0" t="n">
        <v>115799</v>
      </c>
      <c r="F49" s="0" t="n">
        <v>4000</v>
      </c>
      <c r="G49" s="0" t="n">
        <v>115801</v>
      </c>
      <c r="H49" s="0" t="n">
        <v>115797</v>
      </c>
      <c r="I49" s="0" t="n">
        <v>115791</v>
      </c>
      <c r="J49" s="0" t="n">
        <v>139142</v>
      </c>
      <c r="K49" s="0" t="n">
        <v>139138</v>
      </c>
      <c r="L49" s="0" t="n">
        <v>3921</v>
      </c>
      <c r="M49" s="0" t="n">
        <v>22226</v>
      </c>
      <c r="N49" s="0" t="n">
        <v>187499</v>
      </c>
      <c r="O49" s="0" t="n">
        <v>118602</v>
      </c>
      <c r="P49" s="0" t="n">
        <v>172074</v>
      </c>
      <c r="Q49" s="0" t="n">
        <v>118601</v>
      </c>
      <c r="R49" s="0" t="n">
        <v>3939</v>
      </c>
      <c r="S49" s="0" t="n">
        <v>3921</v>
      </c>
      <c r="T49" s="0" t="n">
        <v>77922</v>
      </c>
      <c r="U49" s="0" t="n">
        <v>140710</v>
      </c>
      <c r="V49" s="0" t="n">
        <v>161121</v>
      </c>
      <c r="W49" s="0" t="n">
        <f aca="false">IF(SUMPRODUCT(COUNTIF($C49:$L49,M49:M49))&gt;0,1,0)</f>
        <v>0</v>
      </c>
      <c r="X49" s="0" t="n">
        <f aca="false">IF(SUMPRODUCT(COUNTIF($C49:$L49,M49:O49))&gt;0,1,0)</f>
        <v>1</v>
      </c>
      <c r="Y49" s="0" t="n">
        <f aca="false">IF(SUMPRODUCT(COUNTIF($C49:$L49,M49:Q49))&gt;0,1,0)</f>
        <v>1</v>
      </c>
      <c r="Z49" s="0" t="n">
        <f aca="false">IF(SUMPRODUCT(COUNTIF($C49:$L49,M49:V49))&gt;0,1,0)</f>
        <v>1</v>
      </c>
      <c r="AA49" s="0" t="n">
        <f aca="false">IF(COUNTIF(M49:M49,$C49)&gt;0,1,0)</f>
        <v>0</v>
      </c>
      <c r="AB49" s="0" t="n">
        <f aca="false">IF(COUNTIF(M49:O49,$C49)&gt;0,1,0)</f>
        <v>0</v>
      </c>
      <c r="AC49" s="0" t="n">
        <f aca="false">IF(COUNTIF(M49:Q49,$C49)&gt;0,1,0)</f>
        <v>0</v>
      </c>
      <c r="AD49" s="0" t="n">
        <f aca="false">IF(COUNTIF(M49:V49,$C49)&gt;0,1,0)</f>
        <v>0</v>
      </c>
      <c r="AE49" s="0" t="n">
        <f aca="false">IFERROR(MATCH(1,INDEX(--(COUNTIF($C49:$L49,M49:V49)&gt;0),0),0),"")</f>
        <v>2</v>
      </c>
      <c r="AF49" s="0" t="n">
        <v>8646</v>
      </c>
    </row>
    <row r="50" customFormat="false" ht="15" hidden="false" customHeight="false" outlineLevel="0" collapsed="false">
      <c r="A50" s="0" t="s">
        <v>128</v>
      </c>
      <c r="B50" s="0" t="s">
        <v>129</v>
      </c>
      <c r="C50" s="0" t="n">
        <v>137206</v>
      </c>
      <c r="D50" s="0" t="n">
        <v>4167</v>
      </c>
      <c r="E50" s="0" t="n">
        <v>61317</v>
      </c>
      <c r="F50" s="0" t="n">
        <v>140676</v>
      </c>
      <c r="G50" s="0" t="n">
        <v>190772</v>
      </c>
      <c r="H50" s="0" t="n">
        <v>157787</v>
      </c>
      <c r="I50" s="0" t="n">
        <v>20640</v>
      </c>
      <c r="J50" s="0" t="n">
        <v>168354</v>
      </c>
      <c r="K50" s="0" t="n">
        <v>175952</v>
      </c>
      <c r="L50" s="0" t="n">
        <v>154137</v>
      </c>
      <c r="M50" s="0" t="n">
        <v>118820</v>
      </c>
      <c r="N50" s="0" t="n">
        <v>137206</v>
      </c>
      <c r="O50" s="0" t="n">
        <v>4167</v>
      </c>
      <c r="P50" s="0" t="n">
        <v>36190</v>
      </c>
      <c r="Q50" s="0" t="n">
        <v>148163</v>
      </c>
      <c r="R50" s="0" t="n">
        <v>125202</v>
      </c>
      <c r="S50" s="0" t="n">
        <v>153576</v>
      </c>
      <c r="T50" s="0" t="n">
        <v>140620</v>
      </c>
      <c r="U50" s="0" t="n">
        <v>151794</v>
      </c>
      <c r="V50" s="0" t="n">
        <v>127586</v>
      </c>
      <c r="W50" s="0" t="n">
        <f aca="false">IF(SUMPRODUCT(COUNTIF($C50:$L50,M50:M50))&gt;0,1,0)</f>
        <v>0</v>
      </c>
      <c r="X50" s="0" t="n">
        <f aca="false">IF(SUMPRODUCT(COUNTIF($C50:$L50,M50:O50))&gt;0,1,0)</f>
        <v>1</v>
      </c>
      <c r="Y50" s="0" t="n">
        <f aca="false">IF(SUMPRODUCT(COUNTIF($C50:$L50,M50:Q50))&gt;0,1,0)</f>
        <v>1</v>
      </c>
      <c r="Z50" s="0" t="n">
        <f aca="false">IF(SUMPRODUCT(COUNTIF($C50:$L50,M50:V50))&gt;0,1,0)</f>
        <v>1</v>
      </c>
      <c r="AA50" s="0" t="n">
        <f aca="false">IF(COUNTIF(M50:M50,$C50)&gt;0,1,0)</f>
        <v>0</v>
      </c>
      <c r="AB50" s="0" t="n">
        <f aca="false">IF(COUNTIF(M50:O50,$C50)&gt;0,1,0)</f>
        <v>1</v>
      </c>
      <c r="AC50" s="0" t="n">
        <f aca="false">IF(COUNTIF(M50:Q50,$C50)&gt;0,1,0)</f>
        <v>1</v>
      </c>
      <c r="AD50" s="0" t="n">
        <f aca="false">IF(COUNTIF(M50:V50,$C50)&gt;0,1,0)</f>
        <v>1</v>
      </c>
      <c r="AE50" s="0" t="n">
        <f aca="false">IFERROR(MATCH(1,INDEX(--(COUNTIF($C50:$L50,M50:V50)&gt;0),0),0),"")</f>
        <v>2</v>
      </c>
      <c r="AF50" s="0" t="n">
        <v>9120</v>
      </c>
    </row>
    <row r="51" customFormat="false" ht="15" hidden="false" customHeight="false" outlineLevel="0" collapsed="false">
      <c r="A51" s="0" t="s">
        <v>130</v>
      </c>
      <c r="B51" s="0" t="s">
        <v>131</v>
      </c>
      <c r="C51" s="0" t="n">
        <v>35035</v>
      </c>
      <c r="D51" s="0" t="n">
        <v>133535</v>
      </c>
      <c r="E51" s="0" t="n">
        <v>133537</v>
      </c>
      <c r="F51" s="0" t="n">
        <v>38854</v>
      </c>
      <c r="G51" s="0" t="n">
        <v>99317</v>
      </c>
      <c r="H51" s="0" t="n">
        <v>146715</v>
      </c>
      <c r="I51" s="0" t="n">
        <v>139410</v>
      </c>
      <c r="J51" s="0" t="n">
        <v>51220</v>
      </c>
      <c r="K51" s="0" t="n">
        <v>75630</v>
      </c>
      <c r="L51" s="0" t="n">
        <v>130200</v>
      </c>
      <c r="M51" s="0" t="n">
        <v>38854</v>
      </c>
      <c r="N51" s="0" t="n">
        <v>133535</v>
      </c>
      <c r="O51" s="0" t="n">
        <v>121622</v>
      </c>
      <c r="P51" s="0" t="n">
        <v>120506</v>
      </c>
      <c r="Q51" s="0" t="n">
        <v>39685</v>
      </c>
      <c r="R51" s="0" t="n">
        <v>120498</v>
      </c>
      <c r="S51" s="0" t="n">
        <v>80533</v>
      </c>
      <c r="T51" s="0" t="n">
        <v>35037</v>
      </c>
      <c r="U51" s="0" t="n">
        <v>35035</v>
      </c>
      <c r="V51" s="0" t="n">
        <v>39691</v>
      </c>
      <c r="W51" s="0" t="n">
        <f aca="false">IF(SUMPRODUCT(COUNTIF($C51:$L51,M51:M51))&gt;0,1,0)</f>
        <v>1</v>
      </c>
      <c r="X51" s="0" t="n">
        <f aca="false">IF(SUMPRODUCT(COUNTIF($C51:$L51,M51:O51))&gt;0,1,0)</f>
        <v>1</v>
      </c>
      <c r="Y51" s="0" t="n">
        <f aca="false">IF(SUMPRODUCT(COUNTIF($C51:$L51,M51:Q51))&gt;0,1,0)</f>
        <v>1</v>
      </c>
      <c r="Z51" s="0" t="n">
        <f aca="false">IF(SUMPRODUCT(COUNTIF($C51:$L51,M51:V51))&gt;0,1,0)</f>
        <v>1</v>
      </c>
      <c r="AA51" s="0" t="n">
        <f aca="false">IF(COUNTIF(M51:M51,$C51)&gt;0,1,0)</f>
        <v>0</v>
      </c>
      <c r="AB51" s="0" t="n">
        <f aca="false">IF(COUNTIF(M51:O51,$C51)&gt;0,1,0)</f>
        <v>0</v>
      </c>
      <c r="AC51" s="0" t="n">
        <f aca="false">IF(COUNTIF(M51:Q51,$C51)&gt;0,1,0)</f>
        <v>0</v>
      </c>
      <c r="AD51" s="0" t="n">
        <f aca="false">IF(COUNTIF(M51:V51,$C51)&gt;0,1,0)</f>
        <v>1</v>
      </c>
      <c r="AE51" s="0" t="n">
        <f aca="false">IFERROR(MATCH(1,INDEX(--(COUNTIF($C51:$L51,M51:V51)&gt;0),0),0),"")</f>
        <v>1</v>
      </c>
      <c r="AF51" s="0" t="n">
        <v>9460</v>
      </c>
    </row>
    <row r="52" customFormat="false" ht="15" hidden="false" customHeight="false" outlineLevel="0" collapsed="false">
      <c r="A52" s="0" t="s">
        <v>132</v>
      </c>
      <c r="B52" s="0" t="s">
        <v>133</v>
      </c>
      <c r="C52" s="0" t="n">
        <v>173769</v>
      </c>
      <c r="D52" s="0" t="n">
        <v>173771</v>
      </c>
      <c r="E52" s="0" t="n">
        <v>39713</v>
      </c>
      <c r="F52" s="0" t="n">
        <v>173768</v>
      </c>
      <c r="G52" s="0" t="n">
        <v>34195</v>
      </c>
      <c r="H52" s="0" t="n">
        <v>173770</v>
      </c>
      <c r="I52" s="0" t="n">
        <v>158463</v>
      </c>
      <c r="J52" s="0" t="n">
        <v>158464</v>
      </c>
      <c r="K52" s="0" t="n">
        <v>158462</v>
      </c>
      <c r="L52" s="0" t="n">
        <v>168612</v>
      </c>
      <c r="M52" s="0" t="n">
        <v>34195</v>
      </c>
      <c r="N52" s="0" t="n">
        <v>36671</v>
      </c>
      <c r="O52" s="0" t="n">
        <v>164952</v>
      </c>
      <c r="P52" s="0" t="n">
        <v>158464</v>
      </c>
      <c r="Q52" s="0" t="n">
        <v>173771</v>
      </c>
      <c r="R52" s="0" t="n">
        <v>115647</v>
      </c>
      <c r="S52" s="0" t="n">
        <v>184632</v>
      </c>
      <c r="T52" s="0" t="n">
        <v>121975</v>
      </c>
      <c r="U52" s="0" t="n">
        <v>158459</v>
      </c>
      <c r="V52" s="0" t="n">
        <v>93111</v>
      </c>
      <c r="W52" s="0" t="n">
        <f aca="false">IF(SUMPRODUCT(COUNTIF($C52:$L52,M52:M52))&gt;0,1,0)</f>
        <v>1</v>
      </c>
      <c r="X52" s="0" t="n">
        <f aca="false">IF(SUMPRODUCT(COUNTIF($C52:$L52,M52:O52))&gt;0,1,0)</f>
        <v>1</v>
      </c>
      <c r="Y52" s="0" t="n">
        <f aca="false">IF(SUMPRODUCT(COUNTIF($C52:$L52,M52:Q52))&gt;0,1,0)</f>
        <v>1</v>
      </c>
      <c r="Z52" s="0" t="n">
        <f aca="false">IF(SUMPRODUCT(COUNTIF($C52:$L52,M52:V52))&gt;0,1,0)</f>
        <v>1</v>
      </c>
      <c r="AA52" s="0" t="n">
        <f aca="false">IF(COUNTIF(M52:M52,$C52)&gt;0,1,0)</f>
        <v>0</v>
      </c>
      <c r="AB52" s="0" t="n">
        <f aca="false">IF(COUNTIF(M52:O52,$C52)&gt;0,1,0)</f>
        <v>0</v>
      </c>
      <c r="AC52" s="0" t="n">
        <f aca="false">IF(COUNTIF(M52:Q52,$C52)&gt;0,1,0)</f>
        <v>0</v>
      </c>
      <c r="AD52" s="0" t="n">
        <f aca="false">IF(COUNTIF(M52:V52,$C52)&gt;0,1,0)</f>
        <v>0</v>
      </c>
      <c r="AE52" s="0" t="n">
        <f aca="false">IFERROR(MATCH(1,INDEX(--(COUNTIF($C52:$L52,M52:V52)&gt;0),0),0),"")</f>
        <v>1</v>
      </c>
      <c r="AF52" s="0" t="n">
        <v>9627</v>
      </c>
    </row>
    <row r="53" customFormat="false" ht="15" hidden="false" customHeight="false" outlineLevel="0" collapsed="false">
      <c r="A53" s="0" t="s">
        <v>134</v>
      </c>
      <c r="B53" s="0" t="s">
        <v>135</v>
      </c>
      <c r="C53" s="0" t="n">
        <v>185623</v>
      </c>
      <c r="D53" s="0" t="n">
        <v>13764</v>
      </c>
      <c r="E53" s="0" t="n">
        <v>12483</v>
      </c>
      <c r="F53" s="0" t="n">
        <v>121974</v>
      </c>
      <c r="G53" s="0" t="n">
        <v>178649</v>
      </c>
      <c r="H53" s="0" t="n">
        <v>14348</v>
      </c>
      <c r="I53" s="0" t="n">
        <v>140671</v>
      </c>
      <c r="J53" s="0" t="n">
        <v>178650</v>
      </c>
      <c r="K53" s="0" t="n">
        <v>42937</v>
      </c>
      <c r="L53" s="0" t="n">
        <v>27275</v>
      </c>
      <c r="M53" s="0" t="n">
        <v>18305</v>
      </c>
      <c r="N53" s="0" t="n">
        <v>18646</v>
      </c>
      <c r="O53" s="0" t="n">
        <v>18653</v>
      </c>
      <c r="P53" s="0" t="n">
        <v>185623</v>
      </c>
      <c r="Q53" s="0" t="n">
        <v>134885</v>
      </c>
      <c r="R53" s="0" t="n">
        <v>18661</v>
      </c>
      <c r="S53" s="0" t="n">
        <v>18659</v>
      </c>
      <c r="T53" s="0" t="n">
        <v>130123</v>
      </c>
      <c r="U53" s="0" t="n">
        <v>148337</v>
      </c>
      <c r="V53" s="0" t="n">
        <v>140001</v>
      </c>
      <c r="W53" s="0" t="n">
        <f aca="false">IF(SUMPRODUCT(COUNTIF($C53:$L53,M53:M53))&gt;0,1,0)</f>
        <v>0</v>
      </c>
      <c r="X53" s="0" t="n">
        <f aca="false">IF(SUMPRODUCT(COUNTIF($C53:$L53,M53:O53))&gt;0,1,0)</f>
        <v>0</v>
      </c>
      <c r="Y53" s="0" t="n">
        <f aca="false">IF(SUMPRODUCT(COUNTIF($C53:$L53,M53:Q53))&gt;0,1,0)</f>
        <v>1</v>
      </c>
      <c r="Z53" s="0" t="n">
        <f aca="false">IF(SUMPRODUCT(COUNTIF($C53:$L53,M53:V53))&gt;0,1,0)</f>
        <v>1</v>
      </c>
      <c r="AA53" s="0" t="n">
        <f aca="false">IF(COUNTIF(M53:M53,$C53)&gt;0,1,0)</f>
        <v>0</v>
      </c>
      <c r="AB53" s="0" t="n">
        <f aca="false">IF(COUNTIF(M53:O53,$C53)&gt;0,1,0)</f>
        <v>0</v>
      </c>
      <c r="AC53" s="0" t="n">
        <f aca="false">IF(COUNTIF(M53:Q53,$C53)&gt;0,1,0)</f>
        <v>1</v>
      </c>
      <c r="AD53" s="0" t="n">
        <f aca="false">IF(COUNTIF(M53:V53,$C53)&gt;0,1,0)</f>
        <v>1</v>
      </c>
      <c r="AE53" s="0" t="n">
        <f aca="false">IFERROR(MATCH(1,INDEX(--(COUNTIF($C53:$L53,M53:V53)&gt;0),0),0),"")</f>
        <v>4</v>
      </c>
      <c r="AF53" s="0" t="n">
        <v>9393</v>
      </c>
    </row>
    <row r="54" customFormat="false" ht="15" hidden="false" customHeight="false" outlineLevel="0" collapsed="false">
      <c r="A54" s="0" t="s">
        <v>136</v>
      </c>
      <c r="B54" s="0" t="s">
        <v>137</v>
      </c>
      <c r="C54" s="0" t="n">
        <v>6224</v>
      </c>
      <c r="D54" s="0" t="n">
        <v>43885</v>
      </c>
      <c r="E54" s="0" t="n">
        <v>43886</v>
      </c>
      <c r="F54" s="0" t="n">
        <v>166417</v>
      </c>
      <c r="G54" s="0" t="n">
        <v>194489</v>
      </c>
      <c r="H54" s="0" t="n">
        <v>107296</v>
      </c>
      <c r="I54" s="0" t="n">
        <v>170169</v>
      </c>
      <c r="J54" s="0" t="n">
        <v>177936</v>
      </c>
      <c r="K54" s="0" t="n">
        <v>166416</v>
      </c>
      <c r="L54" s="0" t="n">
        <v>43889</v>
      </c>
      <c r="M54" s="0" t="n">
        <v>43889</v>
      </c>
      <c r="N54" s="0" t="n">
        <v>6224</v>
      </c>
      <c r="O54" s="0" t="n">
        <v>68489</v>
      </c>
      <c r="P54" s="0" t="n">
        <v>170161</v>
      </c>
      <c r="Q54" s="0" t="n">
        <v>95937</v>
      </c>
      <c r="R54" s="0" t="n">
        <v>54239</v>
      </c>
      <c r="S54" s="0" t="n">
        <v>107296</v>
      </c>
      <c r="T54" s="0" t="n">
        <v>177936</v>
      </c>
      <c r="U54" s="0" t="n">
        <v>194489</v>
      </c>
      <c r="V54" s="0" t="n">
        <v>76573</v>
      </c>
      <c r="W54" s="0" t="n">
        <f aca="false">IF(SUMPRODUCT(COUNTIF($C54:$L54,M54:M54))&gt;0,1,0)</f>
        <v>1</v>
      </c>
      <c r="X54" s="0" t="n">
        <f aca="false">IF(SUMPRODUCT(COUNTIF($C54:$L54,M54:O54))&gt;0,1,0)</f>
        <v>1</v>
      </c>
      <c r="Y54" s="0" t="n">
        <f aca="false">IF(SUMPRODUCT(COUNTIF($C54:$L54,M54:Q54))&gt;0,1,0)</f>
        <v>1</v>
      </c>
      <c r="Z54" s="0" t="n">
        <f aca="false">IF(SUMPRODUCT(COUNTIF($C54:$L54,M54:V54))&gt;0,1,0)</f>
        <v>1</v>
      </c>
      <c r="AA54" s="0" t="n">
        <f aca="false">IF(COUNTIF(M54:M54,$C54)&gt;0,1,0)</f>
        <v>0</v>
      </c>
      <c r="AB54" s="0" t="n">
        <f aca="false">IF(COUNTIF(M54:O54,$C54)&gt;0,1,0)</f>
        <v>1</v>
      </c>
      <c r="AC54" s="0" t="n">
        <f aca="false">IF(COUNTIF(M54:Q54,$C54)&gt;0,1,0)</f>
        <v>1</v>
      </c>
      <c r="AD54" s="0" t="n">
        <f aca="false">IF(COUNTIF(M54:V54,$C54)&gt;0,1,0)</f>
        <v>1</v>
      </c>
      <c r="AE54" s="0" t="n">
        <f aca="false">IFERROR(MATCH(1,INDEX(--(COUNTIF($C54:$L54,M54:V54)&gt;0),0),0),"")</f>
        <v>1</v>
      </c>
      <c r="AF54" s="0" t="n">
        <v>8820</v>
      </c>
    </row>
    <row r="55" customFormat="false" ht="15" hidden="false" customHeight="false" outlineLevel="0" collapsed="false">
      <c r="A55" s="0" t="s">
        <v>138</v>
      </c>
      <c r="B55" s="0" t="s">
        <v>139</v>
      </c>
      <c r="C55" s="0" t="n">
        <v>69857</v>
      </c>
      <c r="D55" s="0" t="n">
        <v>74680</v>
      </c>
      <c r="E55" s="0" t="n">
        <v>157606</v>
      </c>
      <c r="F55" s="0" t="n">
        <v>69859</v>
      </c>
      <c r="G55" s="0" t="n">
        <v>153914</v>
      </c>
      <c r="H55" s="0" t="n">
        <v>196515</v>
      </c>
      <c r="I55" s="0" t="n">
        <v>67385</v>
      </c>
      <c r="J55" s="0" t="n">
        <v>69858</v>
      </c>
      <c r="K55" s="0" t="n">
        <v>134318</v>
      </c>
      <c r="L55" s="0" t="n">
        <v>193156</v>
      </c>
      <c r="M55" s="0" t="n">
        <v>69859</v>
      </c>
      <c r="N55" s="0" t="n">
        <v>139706</v>
      </c>
      <c r="O55" s="0" t="n">
        <v>120066</v>
      </c>
      <c r="P55" s="0" t="n">
        <v>130927</v>
      </c>
      <c r="Q55" s="0" t="n">
        <v>30081</v>
      </c>
      <c r="R55" s="0" t="n">
        <v>121987</v>
      </c>
      <c r="S55" s="0" t="n">
        <v>166468</v>
      </c>
      <c r="T55" s="0" t="n">
        <v>139708</v>
      </c>
      <c r="U55" s="0" t="n">
        <v>144124</v>
      </c>
      <c r="V55" s="0" t="n">
        <v>62404</v>
      </c>
      <c r="W55" s="0" t="n">
        <f aca="false">IF(SUMPRODUCT(COUNTIF($C55:$L55,M55:M55))&gt;0,1,0)</f>
        <v>1</v>
      </c>
      <c r="X55" s="0" t="n">
        <f aca="false">IF(SUMPRODUCT(COUNTIF($C55:$L55,M55:O55))&gt;0,1,0)</f>
        <v>1</v>
      </c>
      <c r="Y55" s="0" t="n">
        <f aca="false">IF(SUMPRODUCT(COUNTIF($C55:$L55,M55:Q55))&gt;0,1,0)</f>
        <v>1</v>
      </c>
      <c r="Z55" s="0" t="n">
        <f aca="false">IF(SUMPRODUCT(COUNTIF($C55:$L55,M55:V55))&gt;0,1,0)</f>
        <v>1</v>
      </c>
      <c r="AA55" s="0" t="n">
        <f aca="false">IF(COUNTIF(M55:M55,$C55)&gt;0,1,0)</f>
        <v>0</v>
      </c>
      <c r="AB55" s="0" t="n">
        <f aca="false">IF(COUNTIF(M55:O55,$C55)&gt;0,1,0)</f>
        <v>0</v>
      </c>
      <c r="AC55" s="0" t="n">
        <f aca="false">IF(COUNTIF(M55:Q55,$C55)&gt;0,1,0)</f>
        <v>0</v>
      </c>
      <c r="AD55" s="0" t="n">
        <f aca="false">IF(COUNTIF(M55:V55,$C55)&gt;0,1,0)</f>
        <v>0</v>
      </c>
      <c r="AE55" s="0" t="n">
        <f aca="false">IFERROR(MATCH(1,INDEX(--(COUNTIF($C55:$L55,M55:V55)&gt;0),0),0),"")</f>
        <v>1</v>
      </c>
      <c r="AF55" s="0" t="n">
        <v>9294</v>
      </c>
    </row>
    <row r="56" customFormat="false" ht="15" hidden="false" customHeight="false" outlineLevel="0" collapsed="false">
      <c r="A56" s="0" t="s">
        <v>140</v>
      </c>
      <c r="B56" s="0" t="s">
        <v>141</v>
      </c>
      <c r="C56" s="0" t="n">
        <v>50669</v>
      </c>
      <c r="D56" s="0" t="n">
        <v>118053</v>
      </c>
      <c r="E56" s="0" t="n">
        <v>148843</v>
      </c>
      <c r="F56" s="0" t="n">
        <v>57580</v>
      </c>
      <c r="G56" s="0" t="n">
        <v>151576</v>
      </c>
      <c r="H56" s="0" t="n">
        <v>197639</v>
      </c>
      <c r="I56" s="0" t="n">
        <v>135620</v>
      </c>
      <c r="J56" s="0" t="n">
        <v>171443</v>
      </c>
      <c r="K56" s="0" t="n">
        <v>28643</v>
      </c>
      <c r="L56" s="0" t="n">
        <v>54889</v>
      </c>
      <c r="M56" s="0" t="n">
        <v>50669</v>
      </c>
      <c r="N56" s="0" t="n">
        <v>148843</v>
      </c>
      <c r="O56" s="0" t="n">
        <v>139474</v>
      </c>
      <c r="P56" s="0" t="n">
        <v>135621</v>
      </c>
      <c r="Q56" s="0" t="n">
        <v>135620</v>
      </c>
      <c r="R56" s="0" t="n">
        <v>118053</v>
      </c>
      <c r="S56" s="0" t="n">
        <v>121622</v>
      </c>
      <c r="T56" s="0" t="n">
        <v>96227</v>
      </c>
      <c r="U56" s="0" t="n">
        <v>80536</v>
      </c>
      <c r="V56" s="0" t="n">
        <v>57580</v>
      </c>
      <c r="W56" s="0" t="n">
        <f aca="false">IF(SUMPRODUCT(COUNTIF($C56:$L56,M56:M56))&gt;0,1,0)</f>
        <v>1</v>
      </c>
      <c r="X56" s="0" t="n">
        <f aca="false">IF(SUMPRODUCT(COUNTIF($C56:$L56,M56:O56))&gt;0,1,0)</f>
        <v>1</v>
      </c>
      <c r="Y56" s="0" t="n">
        <f aca="false">IF(SUMPRODUCT(COUNTIF($C56:$L56,M56:Q56))&gt;0,1,0)</f>
        <v>1</v>
      </c>
      <c r="Z56" s="0" t="n">
        <f aca="false">IF(SUMPRODUCT(COUNTIF($C56:$L56,M56:V56))&gt;0,1,0)</f>
        <v>1</v>
      </c>
      <c r="AA56" s="0" t="n">
        <f aca="false">IF(COUNTIF(M56:M56,$C56)&gt;0,1,0)</f>
        <v>1</v>
      </c>
      <c r="AB56" s="0" t="n">
        <f aca="false">IF(COUNTIF(M56:O56,$C56)&gt;0,1,0)</f>
        <v>1</v>
      </c>
      <c r="AC56" s="0" t="n">
        <f aca="false">IF(COUNTIF(M56:Q56,$C56)&gt;0,1,0)</f>
        <v>1</v>
      </c>
      <c r="AD56" s="0" t="n">
        <f aca="false">IF(COUNTIF(M56:V56,$C56)&gt;0,1,0)</f>
        <v>1</v>
      </c>
      <c r="AE56" s="0" t="n">
        <f aca="false">IFERROR(MATCH(1,INDEX(--(COUNTIF($C56:$L56,M56:V56)&gt;0),0),0),"")</f>
        <v>1</v>
      </c>
      <c r="AF56" s="0" t="n">
        <v>9373</v>
      </c>
    </row>
    <row r="57" customFormat="false" ht="15" hidden="false" customHeight="false" outlineLevel="0" collapsed="false">
      <c r="A57" s="0" t="s">
        <v>142</v>
      </c>
      <c r="B57" s="0" t="s">
        <v>143</v>
      </c>
      <c r="C57" s="0" t="n">
        <v>159381</v>
      </c>
      <c r="D57" s="0" t="n">
        <v>111363</v>
      </c>
      <c r="E57" s="0" t="n">
        <v>194487</v>
      </c>
      <c r="F57" s="0" t="n">
        <v>144588</v>
      </c>
      <c r="G57" s="0" t="n">
        <v>174991</v>
      </c>
      <c r="H57" s="0" t="n">
        <v>174992</v>
      </c>
      <c r="I57" s="0" t="n">
        <v>35850</v>
      </c>
      <c r="J57" s="0" t="n">
        <v>158435</v>
      </c>
      <c r="K57" s="0" t="n">
        <v>168612</v>
      </c>
      <c r="L57" s="0" t="n">
        <v>168405</v>
      </c>
      <c r="M57" s="0" t="n">
        <v>56713</v>
      </c>
      <c r="N57" s="0" t="n">
        <v>104288</v>
      </c>
      <c r="O57" s="0" t="n">
        <v>158784</v>
      </c>
      <c r="P57" s="0" t="n">
        <v>186866</v>
      </c>
      <c r="Q57" s="0" t="n">
        <v>139711</v>
      </c>
      <c r="R57" s="0" t="n">
        <v>139657</v>
      </c>
      <c r="S57" s="0" t="n">
        <v>56712</v>
      </c>
      <c r="T57" s="0" t="n">
        <v>99308</v>
      </c>
      <c r="U57" s="0" t="n">
        <v>34945</v>
      </c>
      <c r="V57" s="0" t="n">
        <v>28643</v>
      </c>
      <c r="W57" s="0" t="n">
        <f aca="false">IF(SUMPRODUCT(COUNTIF($C57:$L57,M57:M57))&gt;0,1,0)</f>
        <v>0</v>
      </c>
      <c r="X57" s="0" t="n">
        <f aca="false">IF(SUMPRODUCT(COUNTIF($C57:$L57,M57:O57))&gt;0,1,0)</f>
        <v>0</v>
      </c>
      <c r="Y57" s="0" t="n">
        <f aca="false">IF(SUMPRODUCT(COUNTIF($C57:$L57,M57:Q57))&gt;0,1,0)</f>
        <v>0</v>
      </c>
      <c r="Z57" s="0" t="n">
        <f aca="false">IF(SUMPRODUCT(COUNTIF($C57:$L57,M57:V57))&gt;0,1,0)</f>
        <v>0</v>
      </c>
      <c r="AA57" s="0" t="n">
        <f aca="false">IF(COUNTIF(M57:M57,$C57)&gt;0,1,0)</f>
        <v>0</v>
      </c>
      <c r="AB57" s="0" t="n">
        <f aca="false">IF(COUNTIF(M57:O57,$C57)&gt;0,1,0)</f>
        <v>0</v>
      </c>
      <c r="AC57" s="0" t="n">
        <f aca="false">IF(COUNTIF(M57:Q57,$C57)&gt;0,1,0)</f>
        <v>0</v>
      </c>
      <c r="AD57" s="0" t="n">
        <f aca="false">IF(COUNTIF(M57:V57,$C57)&gt;0,1,0)</f>
        <v>0</v>
      </c>
      <c r="AE57" s="0" t="str">
        <f aca="false">IFERROR(MATCH(1,INDEX(--(COUNTIF($C57:$L57,M57:V57)&gt;0),0),0),"")</f>
        <v/>
      </c>
      <c r="AF57" s="0" t="n">
        <v>9536</v>
      </c>
    </row>
    <row r="58" customFormat="false" ht="15" hidden="false" customHeight="false" outlineLevel="0" collapsed="false">
      <c r="A58" s="0" t="s">
        <v>144</v>
      </c>
      <c r="B58" s="0" t="s">
        <v>145</v>
      </c>
      <c r="C58" s="0" t="n">
        <v>159043</v>
      </c>
      <c r="D58" s="0" t="n">
        <v>158807</v>
      </c>
      <c r="E58" s="0" t="n">
        <v>173167</v>
      </c>
      <c r="F58" s="0" t="n">
        <v>193117</v>
      </c>
      <c r="G58" s="0" t="n">
        <v>10115</v>
      </c>
      <c r="H58" s="0" t="n">
        <v>45281</v>
      </c>
      <c r="I58" s="0" t="n">
        <v>99300</v>
      </c>
      <c r="J58" s="0" t="n">
        <v>151203</v>
      </c>
      <c r="K58" s="0" t="n">
        <v>193119</v>
      </c>
      <c r="L58" s="0" t="n">
        <v>10114</v>
      </c>
      <c r="M58" s="0" t="n">
        <v>159043</v>
      </c>
      <c r="N58" s="0" t="n">
        <v>158807</v>
      </c>
      <c r="O58" s="0" t="n">
        <v>151205</v>
      </c>
      <c r="P58" s="0" t="n">
        <v>10114</v>
      </c>
      <c r="Q58" s="0" t="n">
        <v>193117</v>
      </c>
      <c r="R58" s="0" t="n">
        <v>151204</v>
      </c>
      <c r="S58" s="0" t="n">
        <v>159054</v>
      </c>
      <c r="T58" s="0" t="n">
        <v>151203</v>
      </c>
      <c r="U58" s="0" t="n">
        <v>21893</v>
      </c>
      <c r="V58" s="0" t="n">
        <v>11982</v>
      </c>
      <c r="W58" s="0" t="n">
        <f aca="false">IF(SUMPRODUCT(COUNTIF($C58:$L58,M58:M58))&gt;0,1,0)</f>
        <v>1</v>
      </c>
      <c r="X58" s="0" t="n">
        <f aca="false">IF(SUMPRODUCT(COUNTIF($C58:$L58,M58:O58))&gt;0,1,0)</f>
        <v>1</v>
      </c>
      <c r="Y58" s="0" t="n">
        <f aca="false">IF(SUMPRODUCT(COUNTIF($C58:$L58,M58:Q58))&gt;0,1,0)</f>
        <v>1</v>
      </c>
      <c r="Z58" s="0" t="n">
        <f aca="false">IF(SUMPRODUCT(COUNTIF($C58:$L58,M58:V58))&gt;0,1,0)</f>
        <v>1</v>
      </c>
      <c r="AA58" s="0" t="n">
        <f aca="false">IF(COUNTIF(M58:M58,$C58)&gt;0,1,0)</f>
        <v>1</v>
      </c>
      <c r="AB58" s="0" t="n">
        <f aca="false">IF(COUNTIF(M58:O58,$C58)&gt;0,1,0)</f>
        <v>1</v>
      </c>
      <c r="AC58" s="0" t="n">
        <f aca="false">IF(COUNTIF(M58:Q58,$C58)&gt;0,1,0)</f>
        <v>1</v>
      </c>
      <c r="AD58" s="0" t="n">
        <f aca="false">IF(COUNTIF(M58:V58,$C58)&gt;0,1,0)</f>
        <v>1</v>
      </c>
      <c r="AE58" s="0" t="n">
        <f aca="false">IFERROR(MATCH(1,INDEX(--(COUNTIF($C58:$L58,M58:V58)&gt;0),0),0),"")</f>
        <v>1</v>
      </c>
      <c r="AF58" s="0" t="n">
        <v>9450</v>
      </c>
    </row>
    <row r="59" customFormat="false" ht="15" hidden="false" customHeight="false" outlineLevel="0" collapsed="false">
      <c r="A59" s="0" t="s">
        <v>146</v>
      </c>
      <c r="B59" s="0" t="s">
        <v>147</v>
      </c>
      <c r="C59" s="0" t="n">
        <v>141590</v>
      </c>
      <c r="D59" s="0" t="n">
        <v>126807</v>
      </c>
      <c r="E59" s="0" t="n">
        <v>157904</v>
      </c>
      <c r="F59" s="0" t="n">
        <v>168595</v>
      </c>
      <c r="G59" s="0" t="n">
        <v>115215</v>
      </c>
      <c r="H59" s="0" t="n">
        <v>93110</v>
      </c>
      <c r="I59" s="0" t="n">
        <v>122095</v>
      </c>
      <c r="J59" s="0" t="n">
        <v>47398</v>
      </c>
      <c r="K59" s="0" t="n">
        <v>170346</v>
      </c>
      <c r="L59" s="0" t="n">
        <v>153964</v>
      </c>
      <c r="M59" s="0" t="n">
        <v>170346</v>
      </c>
      <c r="N59" s="0" t="n">
        <v>47397</v>
      </c>
      <c r="O59" s="0" t="n">
        <v>47398</v>
      </c>
      <c r="P59" s="0" t="n">
        <v>141590</v>
      </c>
      <c r="Q59" s="0" t="n">
        <v>168510</v>
      </c>
      <c r="R59" s="0" t="n">
        <v>93388</v>
      </c>
      <c r="S59" s="0" t="n">
        <v>168595</v>
      </c>
      <c r="T59" s="0" t="n">
        <v>47399</v>
      </c>
      <c r="U59" s="0" t="n">
        <v>6325</v>
      </c>
      <c r="V59" s="0" t="n">
        <v>164947</v>
      </c>
      <c r="W59" s="0" t="n">
        <f aca="false">IF(SUMPRODUCT(COUNTIF($C59:$L59,M59:M59))&gt;0,1,0)</f>
        <v>1</v>
      </c>
      <c r="X59" s="0" t="n">
        <f aca="false">IF(SUMPRODUCT(COUNTIF($C59:$L59,M59:O59))&gt;0,1,0)</f>
        <v>1</v>
      </c>
      <c r="Y59" s="0" t="n">
        <f aca="false">IF(SUMPRODUCT(COUNTIF($C59:$L59,M59:Q59))&gt;0,1,0)</f>
        <v>1</v>
      </c>
      <c r="Z59" s="0" t="n">
        <f aca="false">IF(SUMPRODUCT(COUNTIF($C59:$L59,M59:V59))&gt;0,1,0)</f>
        <v>1</v>
      </c>
      <c r="AA59" s="0" t="n">
        <f aca="false">IF(COUNTIF(M59:M59,$C59)&gt;0,1,0)</f>
        <v>0</v>
      </c>
      <c r="AB59" s="0" t="n">
        <f aca="false">IF(COUNTIF(M59:O59,$C59)&gt;0,1,0)</f>
        <v>0</v>
      </c>
      <c r="AC59" s="0" t="n">
        <f aca="false">IF(COUNTIF(M59:Q59,$C59)&gt;0,1,0)</f>
        <v>1</v>
      </c>
      <c r="AD59" s="0" t="n">
        <f aca="false">IF(COUNTIF(M59:V59,$C59)&gt;0,1,0)</f>
        <v>1</v>
      </c>
      <c r="AE59" s="0" t="n">
        <f aca="false">IFERROR(MATCH(1,INDEX(--(COUNTIF($C59:$L59,M59:V59)&gt;0),0),0),"")</f>
        <v>1</v>
      </c>
      <c r="AF59" s="0" t="n">
        <v>9205</v>
      </c>
    </row>
    <row r="60" customFormat="false" ht="15" hidden="false" customHeight="false" outlineLevel="0" collapsed="false">
      <c r="A60" s="0" t="s">
        <v>148</v>
      </c>
      <c r="B60" s="0" t="s">
        <v>149</v>
      </c>
      <c r="C60" s="0" t="n">
        <v>96480</v>
      </c>
      <c r="D60" s="0" t="n">
        <v>96481</v>
      </c>
      <c r="E60" s="0" t="n">
        <v>96471</v>
      </c>
      <c r="F60" s="0" t="n">
        <v>96478</v>
      </c>
      <c r="G60" s="0" t="n">
        <v>96465</v>
      </c>
      <c r="H60" s="0" t="n">
        <v>96477</v>
      </c>
      <c r="I60" s="0" t="n">
        <v>121522</v>
      </c>
      <c r="J60" s="0" t="n">
        <v>96467</v>
      </c>
      <c r="K60" s="0" t="n">
        <v>96479</v>
      </c>
      <c r="L60" s="0" t="n">
        <v>96476</v>
      </c>
      <c r="M60" s="0" t="n">
        <v>17426</v>
      </c>
      <c r="N60" s="0" t="n">
        <v>129992</v>
      </c>
      <c r="O60" s="0" t="n">
        <v>121522</v>
      </c>
      <c r="P60" s="0" t="n">
        <v>34806</v>
      </c>
      <c r="Q60" s="0" t="n">
        <v>96464</v>
      </c>
      <c r="R60" s="0" t="n">
        <v>96468</v>
      </c>
      <c r="S60" s="0" t="n">
        <v>96467</v>
      </c>
      <c r="T60" s="0" t="n">
        <v>18055</v>
      </c>
      <c r="U60" s="0" t="n">
        <v>75348</v>
      </c>
      <c r="V60" s="0" t="n">
        <v>121527</v>
      </c>
      <c r="W60" s="0" t="n">
        <f aca="false">IF(SUMPRODUCT(COUNTIF($C60:$L60,M60:M60))&gt;0,1,0)</f>
        <v>0</v>
      </c>
      <c r="X60" s="0" t="n">
        <f aca="false">IF(SUMPRODUCT(COUNTIF($C60:$L60,M60:O60))&gt;0,1,0)</f>
        <v>1</v>
      </c>
      <c r="Y60" s="0" t="n">
        <f aca="false">IF(SUMPRODUCT(COUNTIF($C60:$L60,M60:Q60))&gt;0,1,0)</f>
        <v>1</v>
      </c>
      <c r="Z60" s="0" t="n">
        <f aca="false">IF(SUMPRODUCT(COUNTIF($C60:$L60,M60:V60))&gt;0,1,0)</f>
        <v>1</v>
      </c>
      <c r="AA60" s="0" t="n">
        <f aca="false">IF(COUNTIF(M60:M60,$C60)&gt;0,1,0)</f>
        <v>0</v>
      </c>
      <c r="AB60" s="0" t="n">
        <f aca="false">IF(COUNTIF(M60:O60,$C60)&gt;0,1,0)</f>
        <v>0</v>
      </c>
      <c r="AC60" s="0" t="n">
        <f aca="false">IF(COUNTIF(M60:Q60,$C60)&gt;0,1,0)</f>
        <v>0</v>
      </c>
      <c r="AD60" s="0" t="n">
        <f aca="false">IF(COUNTIF(M60:V60,$C60)&gt;0,1,0)</f>
        <v>0</v>
      </c>
      <c r="AE60" s="0" t="n">
        <f aca="false">IFERROR(MATCH(1,INDEX(--(COUNTIF($C60:$L60,M60:V60)&gt;0),0),0),"")</f>
        <v>3</v>
      </c>
      <c r="AF60" s="0" t="n">
        <v>9401</v>
      </c>
    </row>
    <row r="61" customFormat="false" ht="15" hidden="false" customHeight="false" outlineLevel="0" collapsed="false">
      <c r="A61" s="0" t="s">
        <v>150</v>
      </c>
      <c r="B61" s="0" t="s">
        <v>151</v>
      </c>
      <c r="C61" s="0" t="n">
        <v>142769</v>
      </c>
      <c r="D61" s="0" t="n">
        <v>168606</v>
      </c>
      <c r="E61" s="0" t="n">
        <v>78977</v>
      </c>
      <c r="F61" s="0" t="n">
        <v>93110</v>
      </c>
      <c r="G61" s="0" t="n">
        <v>120611</v>
      </c>
      <c r="H61" s="0" t="n">
        <v>35347</v>
      </c>
      <c r="I61" s="0" t="n">
        <v>13344</v>
      </c>
      <c r="J61" s="0" t="n">
        <v>188478</v>
      </c>
      <c r="K61" s="0" t="n">
        <v>168595</v>
      </c>
      <c r="L61" s="0" t="n">
        <v>141049</v>
      </c>
      <c r="M61" s="0" t="n">
        <v>78977</v>
      </c>
      <c r="N61" s="0" t="n">
        <v>35347</v>
      </c>
      <c r="O61" s="0" t="n">
        <v>142769</v>
      </c>
      <c r="P61" s="0" t="n">
        <v>168510</v>
      </c>
      <c r="Q61" s="0" t="n">
        <v>9742</v>
      </c>
      <c r="R61" s="0" t="n">
        <v>90988</v>
      </c>
      <c r="S61" s="0" t="n">
        <v>141049</v>
      </c>
      <c r="T61" s="0" t="n">
        <v>168606</v>
      </c>
      <c r="U61" s="0" t="n">
        <v>170079</v>
      </c>
      <c r="V61" s="0" t="n">
        <v>168595</v>
      </c>
      <c r="W61" s="0" t="n">
        <f aca="false">IF(SUMPRODUCT(COUNTIF($C61:$L61,M61:M61))&gt;0,1,0)</f>
        <v>1</v>
      </c>
      <c r="X61" s="0" t="n">
        <f aca="false">IF(SUMPRODUCT(COUNTIF($C61:$L61,M61:O61))&gt;0,1,0)</f>
        <v>1</v>
      </c>
      <c r="Y61" s="0" t="n">
        <f aca="false">IF(SUMPRODUCT(COUNTIF($C61:$L61,M61:Q61))&gt;0,1,0)</f>
        <v>1</v>
      </c>
      <c r="Z61" s="0" t="n">
        <f aca="false">IF(SUMPRODUCT(COUNTIF($C61:$L61,M61:V61))&gt;0,1,0)</f>
        <v>1</v>
      </c>
      <c r="AA61" s="0" t="n">
        <f aca="false">IF(COUNTIF(M61:M61,$C61)&gt;0,1,0)</f>
        <v>0</v>
      </c>
      <c r="AB61" s="0" t="n">
        <f aca="false">IF(COUNTIF(M61:O61,$C61)&gt;0,1,0)</f>
        <v>1</v>
      </c>
      <c r="AC61" s="0" t="n">
        <f aca="false">IF(COUNTIF(M61:Q61,$C61)&gt;0,1,0)</f>
        <v>1</v>
      </c>
      <c r="AD61" s="0" t="n">
        <f aca="false">IF(COUNTIF(M61:V61,$C61)&gt;0,1,0)</f>
        <v>1</v>
      </c>
      <c r="AE61" s="0" t="n">
        <f aca="false">IFERROR(MATCH(1,INDEX(--(COUNTIF($C61:$L61,M61:V61)&gt;0),0),0),"")</f>
        <v>1</v>
      </c>
      <c r="AF61" s="0" t="n">
        <v>10146</v>
      </c>
    </row>
    <row r="62" customFormat="false" ht="15" hidden="false" customHeight="false" outlineLevel="0" collapsed="false">
      <c r="A62" s="0" t="s">
        <v>152</v>
      </c>
      <c r="B62" s="0" t="s">
        <v>153</v>
      </c>
      <c r="C62" s="0" t="n">
        <v>92934</v>
      </c>
      <c r="D62" s="0" t="n">
        <v>31432</v>
      </c>
      <c r="E62" s="0" t="n">
        <v>74680</v>
      </c>
      <c r="F62" s="0" t="n">
        <v>157606</v>
      </c>
      <c r="G62" s="0" t="n">
        <v>153914</v>
      </c>
      <c r="H62" s="0" t="n">
        <v>196515</v>
      </c>
      <c r="I62" s="0" t="n">
        <v>121622</v>
      </c>
      <c r="J62" s="0" t="n">
        <v>121623</v>
      </c>
      <c r="K62" s="0" t="n">
        <v>141035</v>
      </c>
      <c r="L62" s="0" t="n">
        <v>29990</v>
      </c>
      <c r="M62" s="0" t="n">
        <v>31432</v>
      </c>
      <c r="N62" s="0" t="n">
        <v>121622</v>
      </c>
      <c r="O62" s="0" t="n">
        <v>92934</v>
      </c>
      <c r="P62" s="0" t="n">
        <v>29990</v>
      </c>
      <c r="Q62" s="0" t="n">
        <v>196548</v>
      </c>
      <c r="R62" s="0" t="n">
        <v>121623</v>
      </c>
      <c r="S62" s="0" t="n">
        <v>192684</v>
      </c>
      <c r="T62" s="0" t="n">
        <v>62892</v>
      </c>
      <c r="U62" s="0" t="n">
        <v>56715</v>
      </c>
      <c r="V62" s="0" t="n">
        <v>155524</v>
      </c>
      <c r="W62" s="0" t="n">
        <f aca="false">IF(SUMPRODUCT(COUNTIF($C62:$L62,M62:M62))&gt;0,1,0)</f>
        <v>1</v>
      </c>
      <c r="X62" s="0" t="n">
        <f aca="false">IF(SUMPRODUCT(COUNTIF($C62:$L62,M62:O62))&gt;0,1,0)</f>
        <v>1</v>
      </c>
      <c r="Y62" s="0" t="n">
        <f aca="false">IF(SUMPRODUCT(COUNTIF($C62:$L62,M62:Q62))&gt;0,1,0)</f>
        <v>1</v>
      </c>
      <c r="Z62" s="0" t="n">
        <f aca="false">IF(SUMPRODUCT(COUNTIF($C62:$L62,M62:V62))&gt;0,1,0)</f>
        <v>1</v>
      </c>
      <c r="AA62" s="0" t="n">
        <f aca="false">IF(COUNTIF(M62:M62,$C62)&gt;0,1,0)</f>
        <v>0</v>
      </c>
      <c r="AB62" s="0" t="n">
        <f aca="false">IF(COUNTIF(M62:O62,$C62)&gt;0,1,0)</f>
        <v>1</v>
      </c>
      <c r="AC62" s="0" t="n">
        <f aca="false">IF(COUNTIF(M62:Q62,$C62)&gt;0,1,0)</f>
        <v>1</v>
      </c>
      <c r="AD62" s="0" t="n">
        <f aca="false">IF(COUNTIF(M62:V62,$C62)&gt;0,1,0)</f>
        <v>1</v>
      </c>
      <c r="AE62" s="0" t="n">
        <f aca="false">IFERROR(MATCH(1,INDEX(--(COUNTIF($C62:$L62,M62:V62)&gt;0),0),0),"")</f>
        <v>1</v>
      </c>
      <c r="AF62" s="0" t="n">
        <v>10320</v>
      </c>
    </row>
    <row r="63" customFormat="false" ht="15" hidden="false" customHeight="false" outlineLevel="0" collapsed="false">
      <c r="A63" s="0" t="s">
        <v>154</v>
      </c>
      <c r="B63" s="0" t="s">
        <v>155</v>
      </c>
      <c r="C63" s="0" t="n">
        <v>35253</v>
      </c>
      <c r="D63" s="0" t="n">
        <v>9026</v>
      </c>
      <c r="E63" s="0" t="n">
        <v>140754</v>
      </c>
      <c r="F63" s="0" t="n">
        <v>90965</v>
      </c>
      <c r="G63" s="0" t="n">
        <v>200243</v>
      </c>
      <c r="H63" s="0" t="n">
        <v>110089</v>
      </c>
      <c r="I63" s="0" t="n">
        <v>140759</v>
      </c>
      <c r="J63" s="0" t="n">
        <v>35257</v>
      </c>
      <c r="K63" s="0" t="n">
        <v>160315</v>
      </c>
      <c r="L63" s="0" t="n">
        <v>227</v>
      </c>
      <c r="M63" s="0" t="n">
        <v>160315</v>
      </c>
      <c r="N63" s="0" t="n">
        <v>31059</v>
      </c>
      <c r="O63" s="0" t="n">
        <v>103996</v>
      </c>
      <c r="P63" s="0" t="n">
        <v>177809</v>
      </c>
      <c r="Q63" s="0" t="n">
        <v>227</v>
      </c>
      <c r="R63" s="0" t="n">
        <v>107650</v>
      </c>
      <c r="S63" s="0" t="n">
        <v>67381</v>
      </c>
      <c r="T63" s="0" t="n">
        <v>35257</v>
      </c>
      <c r="U63" s="0" t="n">
        <v>150000</v>
      </c>
      <c r="V63" s="0" t="n">
        <v>49924</v>
      </c>
      <c r="W63" s="0" t="n">
        <f aca="false">IF(SUMPRODUCT(COUNTIF($C63:$L63,M63:M63))&gt;0,1,0)</f>
        <v>1</v>
      </c>
      <c r="X63" s="0" t="n">
        <f aca="false">IF(SUMPRODUCT(COUNTIF($C63:$L63,M63:O63))&gt;0,1,0)</f>
        <v>1</v>
      </c>
      <c r="Y63" s="0" t="n">
        <f aca="false">IF(SUMPRODUCT(COUNTIF($C63:$L63,M63:Q63))&gt;0,1,0)</f>
        <v>1</v>
      </c>
      <c r="Z63" s="0" t="n">
        <f aca="false">IF(SUMPRODUCT(COUNTIF($C63:$L63,M63:V63))&gt;0,1,0)</f>
        <v>1</v>
      </c>
      <c r="AA63" s="0" t="n">
        <f aca="false">IF(COUNTIF(M63:M63,$C63)&gt;0,1,0)</f>
        <v>0</v>
      </c>
      <c r="AB63" s="0" t="n">
        <f aca="false">IF(COUNTIF(M63:O63,$C63)&gt;0,1,0)</f>
        <v>0</v>
      </c>
      <c r="AC63" s="0" t="n">
        <f aca="false">IF(COUNTIF(M63:Q63,$C63)&gt;0,1,0)</f>
        <v>0</v>
      </c>
      <c r="AD63" s="0" t="n">
        <f aca="false">IF(COUNTIF(M63:V63,$C63)&gt;0,1,0)</f>
        <v>0</v>
      </c>
      <c r="AE63" s="0" t="n">
        <f aca="false">IFERROR(MATCH(1,INDEX(--(COUNTIF($C63:$L63,M63:V63)&gt;0),0),0),"")</f>
        <v>1</v>
      </c>
      <c r="AF63" s="0" t="n">
        <v>10539</v>
      </c>
    </row>
    <row r="64" customFormat="false" ht="15" hidden="false" customHeight="false" outlineLevel="0" collapsed="false">
      <c r="A64" s="0" t="s">
        <v>156</v>
      </c>
      <c r="B64" s="0" t="s">
        <v>157</v>
      </c>
      <c r="C64" s="0" t="n">
        <v>140574</v>
      </c>
      <c r="D64" s="0" t="n">
        <v>103070</v>
      </c>
      <c r="E64" s="0" t="n">
        <v>65100</v>
      </c>
      <c r="F64" s="0" t="n">
        <v>133663</v>
      </c>
      <c r="G64" s="0" t="n">
        <v>196249</v>
      </c>
      <c r="H64" s="0" t="n">
        <v>187499</v>
      </c>
      <c r="I64" s="0" t="n">
        <v>145770</v>
      </c>
      <c r="J64" s="0" t="n">
        <v>188576</v>
      </c>
      <c r="K64" s="0" t="n">
        <v>175884</v>
      </c>
      <c r="L64" s="0" t="n">
        <v>140579</v>
      </c>
      <c r="M64" s="0" t="n">
        <v>3673</v>
      </c>
      <c r="N64" s="0" t="n">
        <v>48388</v>
      </c>
      <c r="O64" s="0" t="n">
        <v>196252</v>
      </c>
      <c r="P64" s="0" t="n">
        <v>188576</v>
      </c>
      <c r="Q64" s="0" t="n">
        <v>65097</v>
      </c>
      <c r="R64" s="0" t="n">
        <v>140579</v>
      </c>
      <c r="S64" s="0" t="n">
        <v>196253</v>
      </c>
      <c r="T64" s="0" t="n">
        <v>133664</v>
      </c>
      <c r="U64" s="0" t="n">
        <v>12436</v>
      </c>
      <c r="V64" s="0" t="n">
        <v>166637</v>
      </c>
      <c r="W64" s="0" t="n">
        <f aca="false">IF(SUMPRODUCT(COUNTIF($C64:$L64,M64:M64))&gt;0,1,0)</f>
        <v>0</v>
      </c>
      <c r="X64" s="0" t="n">
        <f aca="false">IF(SUMPRODUCT(COUNTIF($C64:$L64,M64:O64))&gt;0,1,0)</f>
        <v>0</v>
      </c>
      <c r="Y64" s="0" t="n">
        <f aca="false">IF(SUMPRODUCT(COUNTIF($C64:$L64,M64:Q64))&gt;0,1,0)</f>
        <v>1</v>
      </c>
      <c r="Z64" s="0" t="n">
        <f aca="false">IF(SUMPRODUCT(COUNTIF($C64:$L64,M64:V64))&gt;0,1,0)</f>
        <v>1</v>
      </c>
      <c r="AA64" s="0" t="n">
        <f aca="false">IF(COUNTIF(M64:M64,$C64)&gt;0,1,0)</f>
        <v>0</v>
      </c>
      <c r="AB64" s="0" t="n">
        <f aca="false">IF(COUNTIF(M64:O64,$C64)&gt;0,1,0)</f>
        <v>0</v>
      </c>
      <c r="AC64" s="0" t="n">
        <f aca="false">IF(COUNTIF(M64:Q64,$C64)&gt;0,1,0)</f>
        <v>0</v>
      </c>
      <c r="AD64" s="0" t="n">
        <f aca="false">IF(COUNTIF(M64:V64,$C64)&gt;0,1,0)</f>
        <v>0</v>
      </c>
      <c r="AE64" s="0" t="n">
        <f aca="false">IFERROR(MATCH(1,INDEX(--(COUNTIF($C64:$L64,M64:V64)&gt;0),0),0),"")</f>
        <v>4</v>
      </c>
      <c r="AF64" s="0" t="n">
        <v>10238</v>
      </c>
    </row>
    <row r="65" customFormat="false" ht="15" hidden="false" customHeight="false" outlineLevel="0" collapsed="false">
      <c r="A65" s="0" t="s">
        <v>158</v>
      </c>
      <c r="B65" s="0" t="s">
        <v>159</v>
      </c>
      <c r="C65" s="0" t="n">
        <v>90948</v>
      </c>
      <c r="D65" s="0" t="n">
        <v>180932</v>
      </c>
      <c r="E65" s="0" t="n">
        <v>92612</v>
      </c>
      <c r="F65" s="0" t="n">
        <v>50513</v>
      </c>
      <c r="G65" s="0" t="n">
        <v>98134</v>
      </c>
      <c r="H65" s="0" t="n">
        <v>170562</v>
      </c>
      <c r="I65" s="0" t="n">
        <v>141360</v>
      </c>
      <c r="J65" s="0" t="n">
        <v>34810</v>
      </c>
      <c r="K65" s="0" t="n">
        <v>155708</v>
      </c>
      <c r="L65" s="0" t="n">
        <v>121918</v>
      </c>
      <c r="M65" s="0" t="n">
        <v>134778</v>
      </c>
      <c r="N65" s="0" t="n">
        <v>20089</v>
      </c>
      <c r="O65" s="0" t="n">
        <v>9743</v>
      </c>
      <c r="P65" s="0" t="n">
        <v>6079</v>
      </c>
      <c r="Q65" s="0" t="n">
        <v>22994</v>
      </c>
      <c r="R65" s="0" t="n">
        <v>88491</v>
      </c>
      <c r="S65" s="0" t="n">
        <v>141437</v>
      </c>
      <c r="T65" s="0" t="n">
        <v>88492</v>
      </c>
      <c r="U65" s="0" t="n">
        <v>68227</v>
      </c>
      <c r="V65" s="0" t="n">
        <v>121836</v>
      </c>
      <c r="W65" s="0" t="n">
        <f aca="false">IF(SUMPRODUCT(COUNTIF($C65:$L65,M65:M65))&gt;0,1,0)</f>
        <v>0</v>
      </c>
      <c r="X65" s="0" t="n">
        <f aca="false">IF(SUMPRODUCT(COUNTIF($C65:$L65,M65:O65))&gt;0,1,0)</f>
        <v>0</v>
      </c>
      <c r="Y65" s="0" t="n">
        <f aca="false">IF(SUMPRODUCT(COUNTIF($C65:$L65,M65:Q65))&gt;0,1,0)</f>
        <v>0</v>
      </c>
      <c r="Z65" s="0" t="n">
        <f aca="false">IF(SUMPRODUCT(COUNTIF($C65:$L65,M65:V65))&gt;0,1,0)</f>
        <v>0</v>
      </c>
      <c r="AA65" s="0" t="n">
        <f aca="false">IF(COUNTIF(M65:M65,$C65)&gt;0,1,0)</f>
        <v>0</v>
      </c>
      <c r="AB65" s="0" t="n">
        <f aca="false">IF(COUNTIF(M65:O65,$C65)&gt;0,1,0)</f>
        <v>0</v>
      </c>
      <c r="AC65" s="0" t="n">
        <f aca="false">IF(COUNTIF(M65:Q65,$C65)&gt;0,1,0)</f>
        <v>0</v>
      </c>
      <c r="AD65" s="0" t="n">
        <f aca="false">IF(COUNTIF(M65:V65,$C65)&gt;0,1,0)</f>
        <v>0</v>
      </c>
      <c r="AE65" s="0" t="str">
        <f aca="false">IFERROR(MATCH(1,INDEX(--(COUNTIF($C65:$L65,M65:V65)&gt;0),0),0),"")</f>
        <v/>
      </c>
      <c r="AF65" s="0" t="n">
        <v>9122</v>
      </c>
    </row>
    <row r="66" customFormat="false" ht="15" hidden="false" customHeight="false" outlineLevel="0" collapsed="false">
      <c r="A66" s="0" t="s">
        <v>160</v>
      </c>
      <c r="B66" s="0" t="s">
        <v>161</v>
      </c>
      <c r="C66" s="0" t="n">
        <v>133663</v>
      </c>
      <c r="D66" s="0" t="n">
        <v>196732</v>
      </c>
      <c r="E66" s="0" t="n">
        <v>187499</v>
      </c>
      <c r="F66" s="0" t="n">
        <v>188576</v>
      </c>
      <c r="G66" s="0" t="n">
        <v>65100</v>
      </c>
      <c r="H66" s="0" t="n">
        <v>196731</v>
      </c>
      <c r="I66" s="0" t="n">
        <v>104803</v>
      </c>
      <c r="J66" s="0" t="n">
        <v>3673</v>
      </c>
      <c r="K66" s="0" t="n">
        <v>3924</v>
      </c>
      <c r="L66" s="0" t="n">
        <v>103070</v>
      </c>
      <c r="M66" s="0" t="n">
        <v>3939</v>
      </c>
      <c r="N66" s="0" t="n">
        <v>3673</v>
      </c>
      <c r="O66" s="0" t="n">
        <v>161273</v>
      </c>
      <c r="P66" s="0" t="n">
        <v>118152</v>
      </c>
      <c r="Q66" s="0" t="n">
        <v>157725</v>
      </c>
      <c r="R66" s="0" t="n">
        <v>133664</v>
      </c>
      <c r="S66" s="0" t="n">
        <v>139400</v>
      </c>
      <c r="T66" s="0" t="n">
        <v>140561</v>
      </c>
      <c r="U66" s="0" t="n">
        <v>12106</v>
      </c>
      <c r="V66" s="0" t="n">
        <v>133663</v>
      </c>
      <c r="W66" s="0" t="n">
        <f aca="false">IF(SUMPRODUCT(COUNTIF($C66:$L66,M66:M66))&gt;0,1,0)</f>
        <v>0</v>
      </c>
      <c r="X66" s="0" t="n">
        <f aca="false">IF(SUMPRODUCT(COUNTIF($C66:$L66,M66:O66))&gt;0,1,0)</f>
        <v>1</v>
      </c>
      <c r="Y66" s="0" t="n">
        <f aca="false">IF(SUMPRODUCT(COUNTIF($C66:$L66,M66:Q66))&gt;0,1,0)</f>
        <v>1</v>
      </c>
      <c r="Z66" s="0" t="n">
        <f aca="false">IF(SUMPRODUCT(COUNTIF($C66:$L66,M66:V66))&gt;0,1,0)</f>
        <v>1</v>
      </c>
      <c r="AA66" s="0" t="n">
        <f aca="false">IF(COUNTIF(M66:M66,$C66)&gt;0,1,0)</f>
        <v>0</v>
      </c>
      <c r="AB66" s="0" t="n">
        <f aca="false">IF(COUNTIF(M66:O66,$C66)&gt;0,1,0)</f>
        <v>0</v>
      </c>
      <c r="AC66" s="0" t="n">
        <f aca="false">IF(COUNTIF(M66:Q66,$C66)&gt;0,1,0)</f>
        <v>0</v>
      </c>
      <c r="AD66" s="0" t="n">
        <f aca="false">IF(COUNTIF(M66:V66,$C66)&gt;0,1,0)</f>
        <v>1</v>
      </c>
      <c r="AE66" s="0" t="n">
        <f aca="false">IFERROR(MATCH(1,INDEX(--(COUNTIF($C66:$L66,M66:V66)&gt;0),0),0),"")</f>
        <v>2</v>
      </c>
      <c r="AF66" s="0" t="n">
        <v>8853</v>
      </c>
    </row>
    <row r="67" customFormat="false" ht="15" hidden="false" customHeight="false" outlineLevel="0" collapsed="false">
      <c r="A67" s="0" t="s">
        <v>162</v>
      </c>
      <c r="B67" s="0" t="s">
        <v>163</v>
      </c>
      <c r="C67" s="0" t="n">
        <v>3672</v>
      </c>
      <c r="D67" s="0" t="n">
        <v>188576</v>
      </c>
      <c r="E67" s="0" t="n">
        <v>141560</v>
      </c>
      <c r="F67" s="0" t="n">
        <v>175841</v>
      </c>
      <c r="G67" s="0" t="n">
        <v>175884</v>
      </c>
      <c r="H67" s="0" t="n">
        <v>175886</v>
      </c>
      <c r="I67" s="0" t="n">
        <v>140574</v>
      </c>
      <c r="J67" s="0" t="n">
        <v>3673</v>
      </c>
      <c r="K67" s="0" t="n">
        <v>133679</v>
      </c>
      <c r="L67" s="0" t="n">
        <v>193557</v>
      </c>
      <c r="M67" s="0" t="n">
        <v>3673</v>
      </c>
      <c r="N67" s="0" t="n">
        <v>188576</v>
      </c>
      <c r="O67" s="0" t="n">
        <v>65102</v>
      </c>
      <c r="P67" s="0" t="n">
        <v>65081</v>
      </c>
      <c r="Q67" s="0" t="n">
        <v>65105</v>
      </c>
      <c r="R67" s="0" t="n">
        <v>193557</v>
      </c>
      <c r="S67" s="0" t="n">
        <v>161273</v>
      </c>
      <c r="T67" s="0" t="n">
        <v>131408</v>
      </c>
      <c r="U67" s="0" t="n">
        <v>128037</v>
      </c>
      <c r="V67" s="0" t="n">
        <v>3951</v>
      </c>
      <c r="W67" s="0" t="n">
        <f aca="false">IF(SUMPRODUCT(COUNTIF($C67:$L67,M67:M67))&gt;0,1,0)</f>
        <v>1</v>
      </c>
      <c r="X67" s="0" t="n">
        <f aca="false">IF(SUMPRODUCT(COUNTIF($C67:$L67,M67:O67))&gt;0,1,0)</f>
        <v>1</v>
      </c>
      <c r="Y67" s="0" t="n">
        <f aca="false">IF(SUMPRODUCT(COUNTIF($C67:$L67,M67:Q67))&gt;0,1,0)</f>
        <v>1</v>
      </c>
      <c r="Z67" s="0" t="n">
        <f aca="false">IF(SUMPRODUCT(COUNTIF($C67:$L67,M67:V67))&gt;0,1,0)</f>
        <v>1</v>
      </c>
      <c r="AA67" s="0" t="n">
        <f aca="false">IF(COUNTIF(M67:M67,$C67)&gt;0,1,0)</f>
        <v>0</v>
      </c>
      <c r="AB67" s="0" t="n">
        <f aca="false">IF(COUNTIF(M67:O67,$C67)&gt;0,1,0)</f>
        <v>0</v>
      </c>
      <c r="AC67" s="0" t="n">
        <f aca="false">IF(COUNTIF(M67:Q67,$C67)&gt;0,1,0)</f>
        <v>0</v>
      </c>
      <c r="AD67" s="0" t="n">
        <f aca="false">IF(COUNTIF(M67:V67,$C67)&gt;0,1,0)</f>
        <v>0</v>
      </c>
      <c r="AE67" s="0" t="n">
        <f aca="false">IFERROR(MATCH(1,INDEX(--(COUNTIF($C67:$L67,M67:V67)&gt;0),0),0),"")</f>
        <v>1</v>
      </c>
      <c r="AF67" s="0" t="n">
        <v>8671</v>
      </c>
    </row>
    <row r="68" customFormat="false" ht="15" hidden="false" customHeight="false" outlineLevel="0" collapsed="false">
      <c r="A68" s="0" t="s">
        <v>164</v>
      </c>
      <c r="B68" s="0" t="s">
        <v>165</v>
      </c>
      <c r="C68" s="0" t="n">
        <v>79081</v>
      </c>
      <c r="D68" s="0" t="n">
        <v>153527</v>
      </c>
      <c r="E68" s="0" t="n">
        <v>93110</v>
      </c>
      <c r="F68" s="0" t="n">
        <v>121526</v>
      </c>
      <c r="G68" s="0" t="n">
        <v>31834</v>
      </c>
      <c r="H68" s="0" t="n">
        <v>170081</v>
      </c>
      <c r="I68" s="0" t="n">
        <v>120611</v>
      </c>
      <c r="J68" s="0" t="n">
        <v>9742</v>
      </c>
      <c r="K68" s="0" t="n">
        <v>142769</v>
      </c>
      <c r="L68" s="0" t="n">
        <v>75791</v>
      </c>
      <c r="M68" s="0" t="n">
        <v>35347</v>
      </c>
      <c r="N68" s="0" t="n">
        <v>78977</v>
      </c>
      <c r="O68" s="0" t="n">
        <v>9742</v>
      </c>
      <c r="P68" s="0" t="n">
        <v>169371</v>
      </c>
      <c r="Q68" s="0" t="n">
        <v>134707</v>
      </c>
      <c r="R68" s="0" t="n">
        <v>19880</v>
      </c>
      <c r="S68" s="0" t="n">
        <v>155073</v>
      </c>
      <c r="T68" s="0" t="n">
        <v>130927</v>
      </c>
      <c r="U68" s="0" t="n">
        <v>159103</v>
      </c>
      <c r="V68" s="0" t="n">
        <v>32480</v>
      </c>
      <c r="W68" s="0" t="n">
        <f aca="false">IF(SUMPRODUCT(COUNTIF($C68:$L68,M68:M68))&gt;0,1,0)</f>
        <v>0</v>
      </c>
      <c r="X68" s="0" t="n">
        <f aca="false">IF(SUMPRODUCT(COUNTIF($C68:$L68,M68:O68))&gt;0,1,0)</f>
        <v>1</v>
      </c>
      <c r="Y68" s="0" t="n">
        <f aca="false">IF(SUMPRODUCT(COUNTIF($C68:$L68,M68:Q68))&gt;0,1,0)</f>
        <v>1</v>
      </c>
      <c r="Z68" s="0" t="n">
        <f aca="false">IF(SUMPRODUCT(COUNTIF($C68:$L68,M68:V68))&gt;0,1,0)</f>
        <v>1</v>
      </c>
      <c r="AA68" s="0" t="n">
        <f aca="false">IF(COUNTIF(M68:M68,$C68)&gt;0,1,0)</f>
        <v>0</v>
      </c>
      <c r="AB68" s="0" t="n">
        <f aca="false">IF(COUNTIF(M68:O68,$C68)&gt;0,1,0)</f>
        <v>0</v>
      </c>
      <c r="AC68" s="0" t="n">
        <f aca="false">IF(COUNTIF(M68:Q68,$C68)&gt;0,1,0)</f>
        <v>0</v>
      </c>
      <c r="AD68" s="0" t="n">
        <f aca="false">IF(COUNTIF(M68:V68,$C68)&gt;0,1,0)</f>
        <v>0</v>
      </c>
      <c r="AE68" s="0" t="n">
        <f aca="false">IFERROR(MATCH(1,INDEX(--(COUNTIF($C68:$L68,M68:V68)&gt;0),0),0),"")</f>
        <v>3</v>
      </c>
      <c r="AF68" s="0" t="n">
        <v>8808</v>
      </c>
    </row>
    <row r="69" customFormat="false" ht="15" hidden="false" customHeight="false" outlineLevel="0" collapsed="false">
      <c r="A69" s="0" t="s">
        <v>166</v>
      </c>
      <c r="B69" s="0" t="s">
        <v>167</v>
      </c>
      <c r="C69" s="0" t="n">
        <v>56150</v>
      </c>
      <c r="D69" s="0" t="n">
        <v>56146</v>
      </c>
      <c r="E69" s="0" t="n">
        <v>36673</v>
      </c>
      <c r="F69" s="0" t="n">
        <v>177862</v>
      </c>
      <c r="G69" s="0" t="n">
        <v>197475</v>
      </c>
      <c r="H69" s="0" t="n">
        <v>56144</v>
      </c>
      <c r="I69" s="0" t="n">
        <v>56152</v>
      </c>
      <c r="J69" s="0" t="n">
        <v>120472</v>
      </c>
      <c r="K69" s="0" t="n">
        <v>36671</v>
      </c>
      <c r="L69" s="0" t="n">
        <v>104289</v>
      </c>
      <c r="M69" s="0" t="n">
        <v>56146</v>
      </c>
      <c r="N69" s="0" t="n">
        <v>83049</v>
      </c>
      <c r="O69" s="0" t="n">
        <v>56150</v>
      </c>
      <c r="P69" s="0" t="n">
        <v>104289</v>
      </c>
      <c r="Q69" s="0" t="n">
        <v>120472</v>
      </c>
      <c r="R69" s="0" t="n">
        <v>154835</v>
      </c>
      <c r="S69" s="0" t="n">
        <v>36671</v>
      </c>
      <c r="T69" s="0" t="n">
        <v>181780</v>
      </c>
      <c r="U69" s="0" t="n">
        <v>6326</v>
      </c>
      <c r="V69" s="0" t="n">
        <v>59394</v>
      </c>
      <c r="W69" s="0" t="n">
        <f aca="false">IF(SUMPRODUCT(COUNTIF($C69:$L69,M69:M69))&gt;0,1,0)</f>
        <v>1</v>
      </c>
      <c r="X69" s="0" t="n">
        <f aca="false">IF(SUMPRODUCT(COUNTIF($C69:$L69,M69:O69))&gt;0,1,0)</f>
        <v>1</v>
      </c>
      <c r="Y69" s="0" t="n">
        <f aca="false">IF(SUMPRODUCT(COUNTIF($C69:$L69,M69:Q69))&gt;0,1,0)</f>
        <v>1</v>
      </c>
      <c r="Z69" s="0" t="n">
        <f aca="false">IF(SUMPRODUCT(COUNTIF($C69:$L69,M69:V69))&gt;0,1,0)</f>
        <v>1</v>
      </c>
      <c r="AA69" s="0" t="n">
        <f aca="false">IF(COUNTIF(M69:M69,$C69)&gt;0,1,0)</f>
        <v>0</v>
      </c>
      <c r="AB69" s="0" t="n">
        <f aca="false">IF(COUNTIF(M69:O69,$C69)&gt;0,1,0)</f>
        <v>1</v>
      </c>
      <c r="AC69" s="0" t="n">
        <f aca="false">IF(COUNTIF(M69:Q69,$C69)&gt;0,1,0)</f>
        <v>1</v>
      </c>
      <c r="AD69" s="0" t="n">
        <f aca="false">IF(COUNTIF(M69:V69,$C69)&gt;0,1,0)</f>
        <v>1</v>
      </c>
      <c r="AE69" s="0" t="n">
        <f aca="false">IFERROR(MATCH(1,INDEX(--(COUNTIF($C69:$L69,M69:V69)&gt;0),0),0),"")</f>
        <v>1</v>
      </c>
      <c r="AF69" s="0" t="n">
        <v>8541</v>
      </c>
    </row>
    <row r="70" customFormat="false" ht="15" hidden="false" customHeight="false" outlineLevel="0" collapsed="false">
      <c r="A70" s="0" t="s">
        <v>168</v>
      </c>
      <c r="B70" s="0" t="s">
        <v>169</v>
      </c>
      <c r="C70" s="0" t="n">
        <v>187499</v>
      </c>
      <c r="D70" s="0" t="n">
        <v>133663</v>
      </c>
      <c r="E70" s="0" t="n">
        <v>196732</v>
      </c>
      <c r="F70" s="0" t="n">
        <v>175947</v>
      </c>
      <c r="G70" s="0" t="n">
        <v>170056</v>
      </c>
      <c r="H70" s="0" t="n">
        <v>196537</v>
      </c>
      <c r="I70" s="0" t="n">
        <v>62001</v>
      </c>
      <c r="J70" s="0" t="n">
        <v>188576</v>
      </c>
      <c r="K70" s="0" t="n">
        <v>196731</v>
      </c>
      <c r="L70" s="0" t="n">
        <v>111393</v>
      </c>
      <c r="M70" s="0" t="n">
        <v>77922</v>
      </c>
      <c r="N70" s="0" t="n">
        <v>161121</v>
      </c>
      <c r="O70" s="0" t="n">
        <v>77956</v>
      </c>
      <c r="P70" s="0" t="n">
        <v>186182</v>
      </c>
      <c r="Q70" s="0" t="n">
        <v>161123</v>
      </c>
      <c r="R70" s="0" t="n">
        <v>97415</v>
      </c>
      <c r="S70" s="0" t="n">
        <v>3939</v>
      </c>
      <c r="T70" s="0" t="n">
        <v>187499</v>
      </c>
      <c r="U70" s="0" t="n">
        <v>4220</v>
      </c>
      <c r="V70" s="0" t="n">
        <v>118601</v>
      </c>
      <c r="W70" s="0" t="n">
        <f aca="false">IF(SUMPRODUCT(COUNTIF($C70:$L70,M70:M70))&gt;0,1,0)</f>
        <v>0</v>
      </c>
      <c r="X70" s="0" t="n">
        <f aca="false">IF(SUMPRODUCT(COUNTIF($C70:$L70,M70:O70))&gt;0,1,0)</f>
        <v>0</v>
      </c>
      <c r="Y70" s="0" t="n">
        <f aca="false">IF(SUMPRODUCT(COUNTIF($C70:$L70,M70:Q70))&gt;0,1,0)</f>
        <v>0</v>
      </c>
      <c r="Z70" s="0" t="n">
        <f aca="false">IF(SUMPRODUCT(COUNTIF($C70:$L70,M70:V70))&gt;0,1,0)</f>
        <v>1</v>
      </c>
      <c r="AA70" s="0" t="n">
        <f aca="false">IF(COUNTIF(M70:M70,$C70)&gt;0,1,0)</f>
        <v>0</v>
      </c>
      <c r="AB70" s="0" t="n">
        <f aca="false">IF(COUNTIF(M70:O70,$C70)&gt;0,1,0)</f>
        <v>0</v>
      </c>
      <c r="AC70" s="0" t="n">
        <f aca="false">IF(COUNTIF(M70:Q70,$C70)&gt;0,1,0)</f>
        <v>0</v>
      </c>
      <c r="AD70" s="0" t="n">
        <f aca="false">IF(COUNTIF(M70:V70,$C70)&gt;0,1,0)</f>
        <v>1</v>
      </c>
      <c r="AE70" s="0" t="n">
        <f aca="false">IFERROR(MATCH(1,INDEX(--(COUNTIF($C70:$L70,M70:V70)&gt;0),0),0),"")</f>
        <v>8</v>
      </c>
      <c r="AF70" s="0" t="n">
        <v>8319</v>
      </c>
    </row>
    <row r="71" customFormat="false" ht="15" hidden="false" customHeight="false" outlineLevel="0" collapsed="false">
      <c r="A71" s="0" t="s">
        <v>170</v>
      </c>
      <c r="B71" s="0" t="s">
        <v>171</v>
      </c>
      <c r="C71" s="0" t="n">
        <v>35869</v>
      </c>
      <c r="D71" s="0" t="n">
        <v>120517</v>
      </c>
      <c r="E71" s="0" t="n">
        <v>35873</v>
      </c>
      <c r="F71" s="0" t="n">
        <v>47399</v>
      </c>
      <c r="G71" s="0" t="n">
        <v>196228</v>
      </c>
      <c r="H71" s="0" t="n">
        <v>168511</v>
      </c>
      <c r="I71" s="0" t="n">
        <v>170083</v>
      </c>
      <c r="J71" s="0" t="n">
        <v>93110</v>
      </c>
      <c r="K71" s="0" t="n">
        <v>168512</v>
      </c>
      <c r="L71" s="0" t="n">
        <v>174843</v>
      </c>
      <c r="M71" s="0" t="n">
        <v>196548</v>
      </c>
      <c r="N71" s="0" t="n">
        <v>194987</v>
      </c>
      <c r="O71" s="0" t="n">
        <v>120517</v>
      </c>
      <c r="P71" s="0" t="n">
        <v>35873</v>
      </c>
      <c r="Q71" s="0" t="n">
        <v>155546</v>
      </c>
      <c r="R71" s="0" t="n">
        <v>172569</v>
      </c>
      <c r="S71" s="0" t="n">
        <v>173204</v>
      </c>
      <c r="T71" s="0" t="n">
        <v>28666</v>
      </c>
      <c r="U71" s="0" t="n">
        <v>174990</v>
      </c>
      <c r="V71" s="0" t="n">
        <v>151293</v>
      </c>
      <c r="W71" s="0" t="n">
        <f aca="false">IF(SUMPRODUCT(COUNTIF($C71:$L71,M71:M71))&gt;0,1,0)</f>
        <v>0</v>
      </c>
      <c r="X71" s="0" t="n">
        <f aca="false">IF(SUMPRODUCT(COUNTIF($C71:$L71,M71:O71))&gt;0,1,0)</f>
        <v>1</v>
      </c>
      <c r="Y71" s="0" t="n">
        <f aca="false">IF(SUMPRODUCT(COUNTIF($C71:$L71,M71:Q71))&gt;0,1,0)</f>
        <v>1</v>
      </c>
      <c r="Z71" s="0" t="n">
        <f aca="false">IF(SUMPRODUCT(COUNTIF($C71:$L71,M71:V71))&gt;0,1,0)</f>
        <v>1</v>
      </c>
      <c r="AA71" s="0" t="n">
        <f aca="false">IF(COUNTIF(M71:M71,$C71)&gt;0,1,0)</f>
        <v>0</v>
      </c>
      <c r="AB71" s="0" t="n">
        <f aca="false">IF(COUNTIF(M71:O71,$C71)&gt;0,1,0)</f>
        <v>0</v>
      </c>
      <c r="AC71" s="0" t="n">
        <f aca="false">IF(COUNTIF(M71:Q71,$C71)&gt;0,1,0)</f>
        <v>0</v>
      </c>
      <c r="AD71" s="0" t="n">
        <f aca="false">IF(COUNTIF(M71:V71,$C71)&gt;0,1,0)</f>
        <v>0</v>
      </c>
      <c r="AE71" s="0" t="n">
        <f aca="false">IFERROR(MATCH(1,INDEX(--(COUNTIF($C71:$L71,M71:V71)&gt;0),0),0),"")</f>
        <v>3</v>
      </c>
      <c r="AF71" s="0" t="n">
        <v>8291</v>
      </c>
    </row>
    <row r="72" customFormat="false" ht="15" hidden="false" customHeight="false" outlineLevel="0" collapsed="false">
      <c r="A72" s="0" t="s">
        <v>172</v>
      </c>
      <c r="B72" s="0" t="s">
        <v>173</v>
      </c>
      <c r="C72" s="0" t="n">
        <v>114985</v>
      </c>
      <c r="D72" s="0" t="n">
        <v>17470</v>
      </c>
      <c r="E72" s="0" t="n">
        <v>41287</v>
      </c>
      <c r="F72" s="0" t="n">
        <v>18057</v>
      </c>
      <c r="G72" s="0" t="n">
        <v>177987</v>
      </c>
      <c r="H72" s="0" t="n">
        <v>151590</v>
      </c>
      <c r="I72" s="0" t="n">
        <v>173619</v>
      </c>
      <c r="J72" s="0" t="n">
        <v>127902</v>
      </c>
      <c r="K72" s="0" t="n">
        <v>140507</v>
      </c>
      <c r="L72" s="0" t="n">
        <v>18058</v>
      </c>
      <c r="M72" s="0" t="n">
        <v>39245</v>
      </c>
      <c r="N72" s="0" t="n">
        <v>18058</v>
      </c>
      <c r="O72" s="0" t="n">
        <v>58036</v>
      </c>
      <c r="P72" s="0" t="n">
        <v>18057</v>
      </c>
      <c r="Q72" s="0" t="n">
        <v>200339</v>
      </c>
      <c r="R72" s="0" t="n">
        <v>71970</v>
      </c>
      <c r="S72" s="0" t="n">
        <v>23757</v>
      </c>
      <c r="T72" s="0" t="n">
        <v>41228</v>
      </c>
      <c r="U72" s="0" t="n">
        <v>18056</v>
      </c>
      <c r="V72" s="0" t="n">
        <v>142658</v>
      </c>
      <c r="W72" s="0" t="n">
        <f aca="false">IF(SUMPRODUCT(COUNTIF($C72:$L72,M72:M72))&gt;0,1,0)</f>
        <v>0</v>
      </c>
      <c r="X72" s="0" t="n">
        <f aca="false">IF(SUMPRODUCT(COUNTIF($C72:$L72,M72:O72))&gt;0,1,0)</f>
        <v>1</v>
      </c>
      <c r="Y72" s="0" t="n">
        <f aca="false">IF(SUMPRODUCT(COUNTIF($C72:$L72,M72:Q72))&gt;0,1,0)</f>
        <v>1</v>
      </c>
      <c r="Z72" s="0" t="n">
        <f aca="false">IF(SUMPRODUCT(COUNTIF($C72:$L72,M72:V72))&gt;0,1,0)</f>
        <v>1</v>
      </c>
      <c r="AA72" s="0" t="n">
        <f aca="false">IF(COUNTIF(M72:M72,$C72)&gt;0,1,0)</f>
        <v>0</v>
      </c>
      <c r="AB72" s="0" t="n">
        <f aca="false">IF(COUNTIF(M72:O72,$C72)&gt;0,1,0)</f>
        <v>0</v>
      </c>
      <c r="AC72" s="0" t="n">
        <f aca="false">IF(COUNTIF(M72:Q72,$C72)&gt;0,1,0)</f>
        <v>0</v>
      </c>
      <c r="AD72" s="0" t="n">
        <f aca="false">IF(COUNTIF(M72:V72,$C72)&gt;0,1,0)</f>
        <v>0</v>
      </c>
      <c r="AE72" s="0" t="n">
        <f aca="false">IFERROR(MATCH(1,INDEX(--(COUNTIF($C72:$L72,M72:V72)&gt;0),0),0),"")</f>
        <v>2</v>
      </c>
      <c r="AF72" s="0" t="n">
        <v>8055</v>
      </c>
    </row>
    <row r="73" customFormat="false" ht="15" hidden="false" customHeight="false" outlineLevel="0" collapsed="false">
      <c r="A73" s="0" t="s">
        <v>174</v>
      </c>
      <c r="B73" s="0" t="s">
        <v>175</v>
      </c>
      <c r="C73" s="0" t="n">
        <v>65099</v>
      </c>
      <c r="D73" s="0" t="n">
        <v>161269</v>
      </c>
      <c r="E73" s="0" t="n">
        <v>3673</v>
      </c>
      <c r="F73" s="0" t="n">
        <v>65100</v>
      </c>
      <c r="G73" s="0" t="n">
        <v>63259</v>
      </c>
      <c r="H73" s="0" t="n">
        <v>107978</v>
      </c>
      <c r="I73" s="0" t="n">
        <v>146759</v>
      </c>
      <c r="J73" s="0" t="n">
        <v>160005</v>
      </c>
      <c r="K73" s="0" t="n">
        <v>145232</v>
      </c>
      <c r="L73" s="0" t="n">
        <v>160006</v>
      </c>
      <c r="M73" s="0" t="n">
        <v>161269</v>
      </c>
      <c r="N73" s="0" t="n">
        <v>107978</v>
      </c>
      <c r="O73" s="0" t="n">
        <v>3673</v>
      </c>
      <c r="P73" s="0" t="n">
        <v>48388</v>
      </c>
      <c r="Q73" s="0" t="n">
        <v>65099</v>
      </c>
      <c r="R73" s="0" t="n">
        <v>65100</v>
      </c>
      <c r="S73" s="0" t="n">
        <v>166637</v>
      </c>
      <c r="T73" s="0" t="n">
        <v>63259</v>
      </c>
      <c r="U73" s="0" t="n">
        <v>65097</v>
      </c>
      <c r="V73" s="0" t="n">
        <v>161121</v>
      </c>
      <c r="W73" s="0" t="n">
        <f aca="false">IF(SUMPRODUCT(COUNTIF($C73:$L73,M73:M73))&gt;0,1,0)</f>
        <v>1</v>
      </c>
      <c r="X73" s="0" t="n">
        <f aca="false">IF(SUMPRODUCT(COUNTIF($C73:$L73,M73:O73))&gt;0,1,0)</f>
        <v>1</v>
      </c>
      <c r="Y73" s="0" t="n">
        <f aca="false">IF(SUMPRODUCT(COUNTIF($C73:$L73,M73:Q73))&gt;0,1,0)</f>
        <v>1</v>
      </c>
      <c r="Z73" s="0" t="n">
        <f aca="false">IF(SUMPRODUCT(COUNTIF($C73:$L73,M73:V73))&gt;0,1,0)</f>
        <v>1</v>
      </c>
      <c r="AA73" s="0" t="n">
        <f aca="false">IF(COUNTIF(M73:M73,$C73)&gt;0,1,0)</f>
        <v>0</v>
      </c>
      <c r="AB73" s="0" t="n">
        <f aca="false">IF(COUNTIF(M73:O73,$C73)&gt;0,1,0)</f>
        <v>0</v>
      </c>
      <c r="AC73" s="0" t="n">
        <f aca="false">IF(COUNTIF(M73:Q73,$C73)&gt;0,1,0)</f>
        <v>1</v>
      </c>
      <c r="AD73" s="0" t="n">
        <f aca="false">IF(COUNTIF(M73:V73,$C73)&gt;0,1,0)</f>
        <v>1</v>
      </c>
      <c r="AE73" s="0" t="n">
        <f aca="false">IFERROR(MATCH(1,INDEX(--(COUNTIF($C73:$L73,M73:V73)&gt;0),0),0),"")</f>
        <v>1</v>
      </c>
      <c r="AF73" s="0" t="n">
        <v>8754</v>
      </c>
    </row>
    <row r="74" customFormat="false" ht="15" hidden="false" customHeight="false" outlineLevel="0" collapsed="false">
      <c r="A74" s="0" t="s">
        <v>176</v>
      </c>
      <c r="B74" s="0" t="s">
        <v>177</v>
      </c>
      <c r="C74" s="0" t="n">
        <v>114985</v>
      </c>
      <c r="D74" s="0" t="n">
        <v>17470</v>
      </c>
      <c r="E74" s="0" t="n">
        <v>41287</v>
      </c>
      <c r="F74" s="0" t="n">
        <v>173619</v>
      </c>
      <c r="G74" s="0" t="n">
        <v>58224</v>
      </c>
      <c r="H74" s="0" t="n">
        <v>121535</v>
      </c>
      <c r="I74" s="0" t="n">
        <v>140507</v>
      </c>
      <c r="J74" s="0" t="n">
        <v>151590</v>
      </c>
      <c r="K74" s="0" t="n">
        <v>37901</v>
      </c>
      <c r="L74" s="0" t="n">
        <v>175242</v>
      </c>
      <c r="M74" s="0" t="n">
        <v>36788</v>
      </c>
      <c r="N74" s="0" t="n">
        <v>154837</v>
      </c>
      <c r="O74" s="0" t="n">
        <v>155546</v>
      </c>
      <c r="P74" s="0" t="n">
        <v>18055</v>
      </c>
      <c r="Q74" s="0" t="n">
        <v>18057</v>
      </c>
      <c r="R74" s="0" t="n">
        <v>173619</v>
      </c>
      <c r="S74" s="0" t="n">
        <v>148489</v>
      </c>
      <c r="T74" s="0" t="n">
        <v>18056</v>
      </c>
      <c r="U74" s="0" t="n">
        <v>175242</v>
      </c>
      <c r="V74" s="0" t="n">
        <v>142116</v>
      </c>
      <c r="W74" s="0" t="n">
        <f aca="false">IF(SUMPRODUCT(COUNTIF($C74:$L74,M74:M74))&gt;0,1,0)</f>
        <v>0</v>
      </c>
      <c r="X74" s="0" t="n">
        <f aca="false">IF(SUMPRODUCT(COUNTIF($C74:$L74,M74:O74))&gt;0,1,0)</f>
        <v>0</v>
      </c>
      <c r="Y74" s="0" t="n">
        <f aca="false">IF(SUMPRODUCT(COUNTIF($C74:$L74,M74:Q74))&gt;0,1,0)</f>
        <v>0</v>
      </c>
      <c r="Z74" s="0" t="n">
        <f aca="false">IF(SUMPRODUCT(COUNTIF($C74:$L74,M74:V74))&gt;0,1,0)</f>
        <v>1</v>
      </c>
      <c r="AA74" s="0" t="n">
        <f aca="false">IF(COUNTIF(M74:M74,$C74)&gt;0,1,0)</f>
        <v>0</v>
      </c>
      <c r="AB74" s="0" t="n">
        <f aca="false">IF(COUNTIF(M74:O74,$C74)&gt;0,1,0)</f>
        <v>0</v>
      </c>
      <c r="AC74" s="0" t="n">
        <f aca="false">IF(COUNTIF(M74:Q74,$C74)&gt;0,1,0)</f>
        <v>0</v>
      </c>
      <c r="AD74" s="0" t="n">
        <f aca="false">IF(COUNTIF(M74:V74,$C74)&gt;0,1,0)</f>
        <v>0</v>
      </c>
      <c r="AE74" s="0" t="n">
        <f aca="false">IFERROR(MATCH(1,INDEX(--(COUNTIF($C74:$L74,M74:V74)&gt;0),0),0),"")</f>
        <v>6</v>
      </c>
      <c r="AF74" s="0" t="n">
        <v>8141</v>
      </c>
    </row>
    <row r="75" customFormat="false" ht="15" hidden="false" customHeight="false" outlineLevel="0" collapsed="false">
      <c r="A75" s="0" t="s">
        <v>178</v>
      </c>
      <c r="B75" s="0" t="s">
        <v>179</v>
      </c>
      <c r="C75" s="0" t="n">
        <v>178852</v>
      </c>
      <c r="D75" s="0" t="n">
        <v>171442</v>
      </c>
      <c r="E75" s="0" t="n">
        <v>90988</v>
      </c>
      <c r="F75" s="0" t="n">
        <v>139558</v>
      </c>
      <c r="G75" s="0" t="n">
        <v>168682</v>
      </c>
      <c r="H75" s="0" t="n">
        <v>158435</v>
      </c>
      <c r="I75" s="0" t="n">
        <v>127501</v>
      </c>
      <c r="J75" s="0" t="n">
        <v>155537</v>
      </c>
      <c r="K75" s="0" t="n">
        <v>54086</v>
      </c>
      <c r="L75" s="0" t="n">
        <v>121828</v>
      </c>
      <c r="M75" s="0" t="n">
        <v>90988</v>
      </c>
      <c r="N75" s="0" t="n">
        <v>178852</v>
      </c>
      <c r="O75" s="0" t="n">
        <v>171442</v>
      </c>
      <c r="P75" s="0" t="n">
        <v>139558</v>
      </c>
      <c r="Q75" s="0" t="n">
        <v>168682</v>
      </c>
      <c r="R75" s="0" t="n">
        <v>200018</v>
      </c>
      <c r="S75" s="0" t="n">
        <v>141623</v>
      </c>
      <c r="T75" s="0" t="n">
        <v>141001</v>
      </c>
      <c r="U75" s="0" t="n">
        <v>187414</v>
      </c>
      <c r="V75" s="0" t="n">
        <v>75737</v>
      </c>
      <c r="W75" s="0" t="n">
        <f aca="false">IF(SUMPRODUCT(COUNTIF($C75:$L75,M75:M75))&gt;0,1,0)</f>
        <v>1</v>
      </c>
      <c r="X75" s="0" t="n">
        <f aca="false">IF(SUMPRODUCT(COUNTIF($C75:$L75,M75:O75))&gt;0,1,0)</f>
        <v>1</v>
      </c>
      <c r="Y75" s="0" t="n">
        <f aca="false">IF(SUMPRODUCT(COUNTIF($C75:$L75,M75:Q75))&gt;0,1,0)</f>
        <v>1</v>
      </c>
      <c r="Z75" s="0" t="n">
        <f aca="false">IF(SUMPRODUCT(COUNTIF($C75:$L75,M75:V75))&gt;0,1,0)</f>
        <v>1</v>
      </c>
      <c r="AA75" s="0" t="n">
        <f aca="false">IF(COUNTIF(M75:M75,$C75)&gt;0,1,0)</f>
        <v>0</v>
      </c>
      <c r="AB75" s="0" t="n">
        <f aca="false">IF(COUNTIF(M75:O75,$C75)&gt;0,1,0)</f>
        <v>1</v>
      </c>
      <c r="AC75" s="0" t="n">
        <f aca="false">IF(COUNTIF(M75:Q75,$C75)&gt;0,1,0)</f>
        <v>1</v>
      </c>
      <c r="AD75" s="0" t="n">
        <f aca="false">IF(COUNTIF(M75:V75,$C75)&gt;0,1,0)</f>
        <v>1</v>
      </c>
      <c r="AE75" s="0" t="n">
        <f aca="false">IFERROR(MATCH(1,INDEX(--(COUNTIF($C75:$L75,M75:V75)&gt;0),0),0),"")</f>
        <v>1</v>
      </c>
      <c r="AF75" s="0" t="n">
        <v>8148</v>
      </c>
    </row>
    <row r="76" customFormat="false" ht="15" hidden="false" customHeight="false" outlineLevel="0" collapsed="false">
      <c r="A76" s="0" t="s">
        <v>180</v>
      </c>
      <c r="B76" s="0" t="s">
        <v>181</v>
      </c>
      <c r="C76" s="0" t="n">
        <v>142769</v>
      </c>
      <c r="D76" s="0" t="n">
        <v>168606</v>
      </c>
      <c r="E76" s="0" t="n">
        <v>78977</v>
      </c>
      <c r="F76" s="0" t="n">
        <v>120611</v>
      </c>
      <c r="G76" s="0" t="n">
        <v>93110</v>
      </c>
      <c r="H76" s="0" t="n">
        <v>35347</v>
      </c>
      <c r="I76" s="0" t="n">
        <v>13344</v>
      </c>
      <c r="J76" s="0" t="n">
        <v>188478</v>
      </c>
      <c r="K76" s="0" t="n">
        <v>168595</v>
      </c>
      <c r="L76" s="0" t="n">
        <v>196245</v>
      </c>
      <c r="M76" s="0" t="n">
        <v>78977</v>
      </c>
      <c r="N76" s="0" t="n">
        <v>35347</v>
      </c>
      <c r="O76" s="0" t="n">
        <v>142769</v>
      </c>
      <c r="P76" s="0" t="n">
        <v>9742</v>
      </c>
      <c r="Q76" s="0" t="n">
        <v>90988</v>
      </c>
      <c r="R76" s="0" t="n">
        <v>141049</v>
      </c>
      <c r="S76" s="0" t="n">
        <v>168510</v>
      </c>
      <c r="T76" s="0" t="n">
        <v>158364</v>
      </c>
      <c r="U76" s="0" t="n">
        <v>168606</v>
      </c>
      <c r="V76" s="0" t="n">
        <v>170079</v>
      </c>
      <c r="W76" s="0" t="n">
        <f aca="false">IF(SUMPRODUCT(COUNTIF($C76:$L76,M76:M76))&gt;0,1,0)</f>
        <v>1</v>
      </c>
      <c r="X76" s="0" t="n">
        <f aca="false">IF(SUMPRODUCT(COUNTIF($C76:$L76,M76:O76))&gt;0,1,0)</f>
        <v>1</v>
      </c>
      <c r="Y76" s="0" t="n">
        <f aca="false">IF(SUMPRODUCT(COUNTIF($C76:$L76,M76:Q76))&gt;0,1,0)</f>
        <v>1</v>
      </c>
      <c r="Z76" s="0" t="n">
        <f aca="false">IF(SUMPRODUCT(COUNTIF($C76:$L76,M76:V76))&gt;0,1,0)</f>
        <v>1</v>
      </c>
      <c r="AA76" s="0" t="n">
        <f aca="false">IF(COUNTIF(M76:M76,$C76)&gt;0,1,0)</f>
        <v>0</v>
      </c>
      <c r="AB76" s="0" t="n">
        <f aca="false">IF(COUNTIF(M76:O76,$C76)&gt;0,1,0)</f>
        <v>1</v>
      </c>
      <c r="AC76" s="0" t="n">
        <f aca="false">IF(COUNTIF(M76:Q76,$C76)&gt;0,1,0)</f>
        <v>1</v>
      </c>
      <c r="AD76" s="0" t="n">
        <f aca="false">IF(COUNTIF(M76:V76,$C76)&gt;0,1,0)</f>
        <v>1</v>
      </c>
      <c r="AE76" s="0" t="n">
        <f aca="false">IFERROR(MATCH(1,INDEX(--(COUNTIF($C76:$L76,M76:V76)&gt;0),0),0),"")</f>
        <v>1</v>
      </c>
      <c r="AF76" s="0" t="n">
        <v>8393</v>
      </c>
    </row>
    <row r="77" customFormat="false" ht="15" hidden="false" customHeight="false" outlineLevel="0" collapsed="false">
      <c r="A77" s="0" t="s">
        <v>182</v>
      </c>
      <c r="B77" s="0" t="s">
        <v>183</v>
      </c>
      <c r="C77" s="0" t="n">
        <v>65100</v>
      </c>
      <c r="D77" s="0" t="n">
        <v>161269</v>
      </c>
      <c r="E77" s="0" t="n">
        <v>188576</v>
      </c>
      <c r="F77" s="0" t="n">
        <v>107978</v>
      </c>
      <c r="G77" s="0" t="n">
        <v>63259</v>
      </c>
      <c r="H77" s="0" t="n">
        <v>145232</v>
      </c>
      <c r="I77" s="0" t="n">
        <v>160005</v>
      </c>
      <c r="J77" s="0" t="n">
        <v>146759</v>
      </c>
      <c r="K77" s="0" t="n">
        <v>3673</v>
      </c>
      <c r="L77" s="0" t="n">
        <v>70307</v>
      </c>
      <c r="M77" s="0" t="n">
        <v>161269</v>
      </c>
      <c r="N77" s="0" t="n">
        <v>107978</v>
      </c>
      <c r="O77" s="0" t="n">
        <v>3673</v>
      </c>
      <c r="P77" s="0" t="n">
        <v>65100</v>
      </c>
      <c r="Q77" s="0" t="n">
        <v>3939</v>
      </c>
      <c r="R77" s="0" t="n">
        <v>77922</v>
      </c>
      <c r="S77" s="0" t="n">
        <v>161121</v>
      </c>
      <c r="T77" s="0" t="n">
        <v>48388</v>
      </c>
      <c r="U77" s="0" t="n">
        <v>166637</v>
      </c>
      <c r="V77" s="0" t="n">
        <v>65097</v>
      </c>
      <c r="W77" s="0" t="n">
        <f aca="false">IF(SUMPRODUCT(COUNTIF($C77:$L77,M77:M77))&gt;0,1,0)</f>
        <v>1</v>
      </c>
      <c r="X77" s="0" t="n">
        <f aca="false">IF(SUMPRODUCT(COUNTIF($C77:$L77,M77:O77))&gt;0,1,0)</f>
        <v>1</v>
      </c>
      <c r="Y77" s="0" t="n">
        <f aca="false">IF(SUMPRODUCT(COUNTIF($C77:$L77,M77:Q77))&gt;0,1,0)</f>
        <v>1</v>
      </c>
      <c r="Z77" s="0" t="n">
        <f aca="false">IF(SUMPRODUCT(COUNTIF($C77:$L77,M77:V77))&gt;0,1,0)</f>
        <v>1</v>
      </c>
      <c r="AA77" s="0" t="n">
        <f aca="false">IF(COUNTIF(M77:M77,$C77)&gt;0,1,0)</f>
        <v>0</v>
      </c>
      <c r="AB77" s="0" t="n">
        <f aca="false">IF(COUNTIF(M77:O77,$C77)&gt;0,1,0)</f>
        <v>0</v>
      </c>
      <c r="AC77" s="0" t="n">
        <f aca="false">IF(COUNTIF(M77:Q77,$C77)&gt;0,1,0)</f>
        <v>1</v>
      </c>
      <c r="AD77" s="0" t="n">
        <f aca="false">IF(COUNTIF(M77:V77,$C77)&gt;0,1,0)</f>
        <v>1</v>
      </c>
      <c r="AE77" s="0" t="n">
        <f aca="false">IFERROR(MATCH(1,INDEX(--(COUNTIF($C77:$L77,M77:V77)&gt;0),0),0),"")</f>
        <v>1</v>
      </c>
      <c r="AF77" s="0" t="n">
        <v>8070</v>
      </c>
    </row>
    <row r="78" customFormat="false" ht="15" hidden="false" customHeight="false" outlineLevel="0" collapsed="false">
      <c r="A78" s="0" t="s">
        <v>184</v>
      </c>
      <c r="B78" s="0" t="s">
        <v>185</v>
      </c>
      <c r="C78" s="0" t="n">
        <v>56152</v>
      </c>
      <c r="D78" s="0" t="n">
        <v>129816</v>
      </c>
      <c r="E78" s="0" t="n">
        <v>158643</v>
      </c>
      <c r="F78" s="0" t="n">
        <v>177862</v>
      </c>
      <c r="G78" s="0" t="n">
        <v>172284</v>
      </c>
      <c r="H78" s="0" t="n">
        <v>197476</v>
      </c>
      <c r="I78" s="0" t="n">
        <v>197477</v>
      </c>
      <c r="J78" s="0" t="n">
        <v>169695</v>
      </c>
      <c r="K78" s="0" t="n">
        <v>197481</v>
      </c>
      <c r="L78" s="0" t="n">
        <v>172573</v>
      </c>
      <c r="M78" s="0" t="n">
        <v>158643</v>
      </c>
      <c r="N78" s="0" t="n">
        <v>56152</v>
      </c>
      <c r="O78" s="0" t="n">
        <v>169695</v>
      </c>
      <c r="P78" s="0" t="n">
        <v>129816</v>
      </c>
      <c r="Q78" s="0" t="n">
        <v>35722</v>
      </c>
      <c r="R78" s="0" t="n">
        <v>60712</v>
      </c>
      <c r="S78" s="0" t="n">
        <v>97902</v>
      </c>
      <c r="T78" s="0" t="n">
        <v>197476</v>
      </c>
      <c r="U78" s="0" t="n">
        <v>197477</v>
      </c>
      <c r="V78" s="0" t="n">
        <v>151293</v>
      </c>
      <c r="W78" s="0" t="n">
        <f aca="false">IF(SUMPRODUCT(COUNTIF($C78:$L78,M78:M78))&gt;0,1,0)</f>
        <v>1</v>
      </c>
      <c r="X78" s="0" t="n">
        <f aca="false">IF(SUMPRODUCT(COUNTIF($C78:$L78,M78:O78))&gt;0,1,0)</f>
        <v>1</v>
      </c>
      <c r="Y78" s="0" t="n">
        <f aca="false">IF(SUMPRODUCT(COUNTIF($C78:$L78,M78:Q78))&gt;0,1,0)</f>
        <v>1</v>
      </c>
      <c r="Z78" s="0" t="n">
        <f aca="false">IF(SUMPRODUCT(COUNTIF($C78:$L78,M78:V78))&gt;0,1,0)</f>
        <v>1</v>
      </c>
      <c r="AA78" s="0" t="n">
        <f aca="false">IF(COUNTIF(M78:M78,$C78)&gt;0,1,0)</f>
        <v>0</v>
      </c>
      <c r="AB78" s="0" t="n">
        <f aca="false">IF(COUNTIF(M78:O78,$C78)&gt;0,1,0)</f>
        <v>1</v>
      </c>
      <c r="AC78" s="0" t="n">
        <f aca="false">IF(COUNTIF(M78:Q78,$C78)&gt;0,1,0)</f>
        <v>1</v>
      </c>
      <c r="AD78" s="0" t="n">
        <f aca="false">IF(COUNTIF(M78:V78,$C78)&gt;0,1,0)</f>
        <v>1</v>
      </c>
      <c r="AE78" s="0" t="n">
        <f aca="false">IFERROR(MATCH(1,INDEX(--(COUNTIF($C78:$L78,M78:V78)&gt;0),0),0),"")</f>
        <v>1</v>
      </c>
      <c r="AF78" s="0" t="n">
        <v>8780</v>
      </c>
    </row>
    <row r="79" customFormat="false" ht="15" hidden="false" customHeight="false" outlineLevel="0" collapsed="false">
      <c r="A79" s="0" t="s">
        <v>186</v>
      </c>
      <c r="B79" s="0" t="s">
        <v>187</v>
      </c>
      <c r="C79" s="0" t="n">
        <v>134879</v>
      </c>
      <c r="D79" s="0" t="n">
        <v>148682</v>
      </c>
      <c r="E79" s="0" t="n">
        <v>134881</v>
      </c>
      <c r="F79" s="0" t="n">
        <v>199353</v>
      </c>
      <c r="G79" s="0" t="n">
        <v>157610</v>
      </c>
      <c r="H79" s="0" t="n">
        <v>196082</v>
      </c>
      <c r="I79" s="0" t="n">
        <v>107945</v>
      </c>
      <c r="J79" s="0" t="n">
        <v>45895</v>
      </c>
      <c r="K79" s="0" t="n">
        <v>55263</v>
      </c>
      <c r="L79" s="0" t="n">
        <v>29018</v>
      </c>
      <c r="M79" s="0" t="n">
        <v>131336</v>
      </c>
      <c r="N79" s="0" t="n">
        <v>148682</v>
      </c>
      <c r="O79" s="0" t="n">
        <v>55263</v>
      </c>
      <c r="P79" s="0" t="n">
        <v>29018</v>
      </c>
      <c r="Q79" s="0" t="n">
        <v>107945</v>
      </c>
      <c r="R79" s="0" t="n">
        <v>45895</v>
      </c>
      <c r="S79" s="0" t="n">
        <v>157610</v>
      </c>
      <c r="T79" s="0" t="n">
        <v>134881</v>
      </c>
      <c r="U79" s="0" t="n">
        <v>140000</v>
      </c>
      <c r="V79" s="0" t="n">
        <v>168480</v>
      </c>
      <c r="W79" s="0" t="n">
        <f aca="false">IF(SUMPRODUCT(COUNTIF($C79:$L79,M79:M79))&gt;0,1,0)</f>
        <v>0</v>
      </c>
      <c r="X79" s="0" t="n">
        <f aca="false">IF(SUMPRODUCT(COUNTIF($C79:$L79,M79:O79))&gt;0,1,0)</f>
        <v>1</v>
      </c>
      <c r="Y79" s="0" t="n">
        <f aca="false">IF(SUMPRODUCT(COUNTIF($C79:$L79,M79:Q79))&gt;0,1,0)</f>
        <v>1</v>
      </c>
      <c r="Z79" s="0" t="n">
        <f aca="false">IF(SUMPRODUCT(COUNTIF($C79:$L79,M79:V79))&gt;0,1,0)</f>
        <v>1</v>
      </c>
      <c r="AA79" s="0" t="n">
        <f aca="false">IF(COUNTIF(M79:M79,$C79)&gt;0,1,0)</f>
        <v>0</v>
      </c>
      <c r="AB79" s="0" t="n">
        <f aca="false">IF(COUNTIF(M79:O79,$C79)&gt;0,1,0)</f>
        <v>0</v>
      </c>
      <c r="AC79" s="0" t="n">
        <f aca="false">IF(COUNTIF(M79:Q79,$C79)&gt;0,1,0)</f>
        <v>0</v>
      </c>
      <c r="AD79" s="0" t="n">
        <f aca="false">IF(COUNTIF(M79:V79,$C79)&gt;0,1,0)</f>
        <v>0</v>
      </c>
      <c r="AE79" s="0" t="n">
        <f aca="false">IFERROR(MATCH(1,INDEX(--(COUNTIF($C79:$L79,M79:V79)&gt;0),0),0),"")</f>
        <v>2</v>
      </c>
      <c r="AF79" s="0" t="n">
        <v>8358</v>
      </c>
    </row>
    <row r="80" customFormat="false" ht="15" hidden="false" customHeight="false" outlineLevel="0" collapsed="false">
      <c r="A80" s="0" t="s">
        <v>188</v>
      </c>
      <c r="B80" s="0" t="s">
        <v>189</v>
      </c>
      <c r="C80" s="0" t="n">
        <v>17470</v>
      </c>
      <c r="D80" s="0" t="n">
        <v>114985</v>
      </c>
      <c r="E80" s="0" t="n">
        <v>104425</v>
      </c>
      <c r="F80" s="0" t="n">
        <v>41287</v>
      </c>
      <c r="G80" s="0" t="n">
        <v>173619</v>
      </c>
      <c r="H80" s="0" t="n">
        <v>18058</v>
      </c>
      <c r="I80" s="0" t="n">
        <v>96461</v>
      </c>
      <c r="J80" s="0" t="n">
        <v>140507</v>
      </c>
      <c r="K80" s="0" t="n">
        <v>104420</v>
      </c>
      <c r="L80" s="0" t="n">
        <v>147803</v>
      </c>
      <c r="M80" s="0" t="n">
        <v>104419</v>
      </c>
      <c r="N80" s="0" t="n">
        <v>17470</v>
      </c>
      <c r="O80" s="0" t="n">
        <v>158072</v>
      </c>
      <c r="P80" s="0" t="n">
        <v>18058</v>
      </c>
      <c r="Q80" s="0" t="n">
        <v>11982</v>
      </c>
      <c r="R80" s="0" t="n">
        <v>148489</v>
      </c>
      <c r="S80" s="0" t="n">
        <v>173619</v>
      </c>
      <c r="T80" s="0" t="n">
        <v>39245</v>
      </c>
      <c r="U80" s="0" t="n">
        <v>28541</v>
      </c>
      <c r="V80" s="0" t="n">
        <v>165460</v>
      </c>
      <c r="W80" s="0" t="n">
        <f aca="false">IF(SUMPRODUCT(COUNTIF($C80:$L80,M80:M80))&gt;0,1,0)</f>
        <v>0</v>
      </c>
      <c r="X80" s="0" t="n">
        <f aca="false">IF(SUMPRODUCT(COUNTIF($C80:$L80,M80:O80))&gt;0,1,0)</f>
        <v>1</v>
      </c>
      <c r="Y80" s="0" t="n">
        <f aca="false">IF(SUMPRODUCT(COUNTIF($C80:$L80,M80:Q80))&gt;0,1,0)</f>
        <v>1</v>
      </c>
      <c r="Z80" s="0" t="n">
        <f aca="false">IF(SUMPRODUCT(COUNTIF($C80:$L80,M80:V80))&gt;0,1,0)</f>
        <v>1</v>
      </c>
      <c r="AA80" s="0" t="n">
        <f aca="false">IF(COUNTIF(M80:M80,$C80)&gt;0,1,0)</f>
        <v>0</v>
      </c>
      <c r="AB80" s="0" t="n">
        <f aca="false">IF(COUNTIF(M80:O80,$C80)&gt;0,1,0)</f>
        <v>1</v>
      </c>
      <c r="AC80" s="0" t="n">
        <f aca="false">IF(COUNTIF(M80:Q80,$C80)&gt;0,1,0)</f>
        <v>1</v>
      </c>
      <c r="AD80" s="0" t="n">
        <f aca="false">IF(COUNTIF(M80:V80,$C80)&gt;0,1,0)</f>
        <v>1</v>
      </c>
      <c r="AE80" s="0" t="n">
        <f aca="false">IFERROR(MATCH(1,INDEX(--(COUNTIF($C80:$L80,M80:V80)&gt;0),0),0),"")</f>
        <v>2</v>
      </c>
      <c r="AF80" s="0" t="n">
        <v>8569</v>
      </c>
    </row>
    <row r="81" customFormat="false" ht="15" hidden="false" customHeight="false" outlineLevel="0" collapsed="false">
      <c r="A81" s="0" t="s">
        <v>190</v>
      </c>
      <c r="B81" s="0" t="s">
        <v>191</v>
      </c>
      <c r="C81" s="0" t="n">
        <v>39171</v>
      </c>
      <c r="D81" s="0" t="n">
        <v>44131</v>
      </c>
      <c r="E81" s="0" t="n">
        <v>173186</v>
      </c>
      <c r="F81" s="0" t="n">
        <v>173185</v>
      </c>
      <c r="G81" s="0" t="n">
        <v>196537</v>
      </c>
      <c r="H81" s="0" t="n">
        <v>865</v>
      </c>
      <c r="I81" s="0" t="n">
        <v>105057</v>
      </c>
      <c r="J81" s="0" t="n">
        <v>192694</v>
      </c>
      <c r="K81" s="0" t="n">
        <v>168359</v>
      </c>
      <c r="L81" s="0" t="n">
        <v>31013</v>
      </c>
      <c r="M81" s="0" t="n">
        <v>105057</v>
      </c>
      <c r="N81" s="0" t="n">
        <v>153919</v>
      </c>
      <c r="O81" s="0" t="n">
        <v>39171</v>
      </c>
      <c r="P81" s="0" t="n">
        <v>196549</v>
      </c>
      <c r="Q81" s="0" t="n">
        <v>31013</v>
      </c>
      <c r="R81" s="0" t="n">
        <v>168352</v>
      </c>
      <c r="S81" s="0" t="n">
        <v>100404</v>
      </c>
      <c r="T81" s="0" t="n">
        <v>150658</v>
      </c>
      <c r="U81" s="0" t="n">
        <v>164460</v>
      </c>
      <c r="V81" s="0" t="n">
        <v>159340</v>
      </c>
      <c r="W81" s="0" t="n">
        <f aca="false">IF(SUMPRODUCT(COUNTIF($C81:$L81,M81:M81))&gt;0,1,0)</f>
        <v>1</v>
      </c>
      <c r="X81" s="0" t="n">
        <f aca="false">IF(SUMPRODUCT(COUNTIF($C81:$L81,M81:O81))&gt;0,1,0)</f>
        <v>1</v>
      </c>
      <c r="Y81" s="0" t="n">
        <f aca="false">IF(SUMPRODUCT(COUNTIF($C81:$L81,M81:Q81))&gt;0,1,0)</f>
        <v>1</v>
      </c>
      <c r="Z81" s="0" t="n">
        <f aca="false">IF(SUMPRODUCT(COUNTIF($C81:$L81,M81:V81))&gt;0,1,0)</f>
        <v>1</v>
      </c>
      <c r="AA81" s="0" t="n">
        <f aca="false">IF(COUNTIF(M81:M81,$C81)&gt;0,1,0)</f>
        <v>0</v>
      </c>
      <c r="AB81" s="0" t="n">
        <f aca="false">IF(COUNTIF(M81:O81,$C81)&gt;0,1,0)</f>
        <v>1</v>
      </c>
      <c r="AC81" s="0" t="n">
        <f aca="false">IF(COUNTIF(M81:Q81,$C81)&gt;0,1,0)</f>
        <v>1</v>
      </c>
      <c r="AD81" s="0" t="n">
        <f aca="false">IF(COUNTIF(M81:V81,$C81)&gt;0,1,0)</f>
        <v>1</v>
      </c>
      <c r="AE81" s="0" t="n">
        <f aca="false">IFERROR(MATCH(1,INDEX(--(COUNTIF($C81:$L81,M81:V81)&gt;0),0),0),"")</f>
        <v>1</v>
      </c>
      <c r="AF81" s="0" t="n">
        <v>8648</v>
      </c>
    </row>
    <row r="82" customFormat="false" ht="15" hidden="false" customHeight="false" outlineLevel="0" collapsed="false">
      <c r="A82" s="0" t="s">
        <v>192</v>
      </c>
      <c r="B82" s="0" t="s">
        <v>193</v>
      </c>
      <c r="C82" s="0" t="n">
        <v>30007</v>
      </c>
      <c r="D82" s="0" t="n">
        <v>187569</v>
      </c>
      <c r="E82" s="0" t="n">
        <v>865</v>
      </c>
      <c r="F82" s="0" t="n">
        <v>21469</v>
      </c>
      <c r="G82" s="0" t="n">
        <v>168359</v>
      </c>
      <c r="H82" s="0" t="n">
        <v>142698</v>
      </c>
      <c r="I82" s="0" t="n">
        <v>173185</v>
      </c>
      <c r="J82" s="0" t="n">
        <v>173187</v>
      </c>
      <c r="K82" s="0" t="n">
        <v>161524</v>
      </c>
      <c r="L82" s="0" t="n">
        <v>176401</v>
      </c>
      <c r="M82" s="0" t="n">
        <v>56738</v>
      </c>
      <c r="N82" s="0" t="n">
        <v>56713</v>
      </c>
      <c r="O82" s="0" t="n">
        <v>153919</v>
      </c>
      <c r="P82" s="0" t="n">
        <v>173186</v>
      </c>
      <c r="Q82" s="0" t="n">
        <v>150658</v>
      </c>
      <c r="R82" s="0" t="n">
        <v>60270</v>
      </c>
      <c r="S82" s="0" t="n">
        <v>161686</v>
      </c>
      <c r="T82" s="0" t="n">
        <v>159345</v>
      </c>
      <c r="U82" s="0" t="n">
        <v>176495</v>
      </c>
      <c r="V82" s="0" t="n">
        <v>56711</v>
      </c>
      <c r="W82" s="0" t="n">
        <f aca="false">IF(SUMPRODUCT(COUNTIF($C82:$L82,M82:M82))&gt;0,1,0)</f>
        <v>0</v>
      </c>
      <c r="X82" s="0" t="n">
        <f aca="false">IF(SUMPRODUCT(COUNTIF($C82:$L82,M82:O82))&gt;0,1,0)</f>
        <v>0</v>
      </c>
      <c r="Y82" s="0" t="n">
        <f aca="false">IF(SUMPRODUCT(COUNTIF($C82:$L82,M82:Q82))&gt;0,1,0)</f>
        <v>0</v>
      </c>
      <c r="Z82" s="0" t="n">
        <f aca="false">IF(SUMPRODUCT(COUNTIF($C82:$L82,M82:V82))&gt;0,1,0)</f>
        <v>0</v>
      </c>
      <c r="AA82" s="0" t="n">
        <f aca="false">IF(COUNTIF(M82:M82,$C82)&gt;0,1,0)</f>
        <v>0</v>
      </c>
      <c r="AB82" s="0" t="n">
        <f aca="false">IF(COUNTIF(M82:O82,$C82)&gt;0,1,0)</f>
        <v>0</v>
      </c>
      <c r="AC82" s="0" t="n">
        <f aca="false">IF(COUNTIF(M82:Q82,$C82)&gt;0,1,0)</f>
        <v>0</v>
      </c>
      <c r="AD82" s="0" t="n">
        <f aca="false">IF(COUNTIF(M82:V82,$C82)&gt;0,1,0)</f>
        <v>0</v>
      </c>
      <c r="AE82" s="0" t="str">
        <f aca="false">IFERROR(MATCH(1,INDEX(--(COUNTIF($C82:$L82,M82:V82)&gt;0),0),0),"")</f>
        <v/>
      </c>
      <c r="AF82" s="0" t="n">
        <v>8765</v>
      </c>
    </row>
    <row r="83" customFormat="false" ht="15" hidden="false" customHeight="false" outlineLevel="0" collapsed="false">
      <c r="A83" s="0" t="s">
        <v>194</v>
      </c>
      <c r="B83" s="0" t="s">
        <v>195</v>
      </c>
      <c r="C83" s="0" t="n">
        <v>155007</v>
      </c>
      <c r="D83" s="0" t="n">
        <v>151690</v>
      </c>
      <c r="E83" s="0" t="n">
        <v>151692</v>
      </c>
      <c r="F83" s="0" t="n">
        <v>155009</v>
      </c>
      <c r="G83" s="0" t="n">
        <v>155004</v>
      </c>
      <c r="H83" s="0" t="n">
        <v>151687</v>
      </c>
      <c r="I83" s="0" t="n">
        <v>92824</v>
      </c>
      <c r="J83" s="0" t="n">
        <v>193613</v>
      </c>
      <c r="K83" s="0" t="n">
        <v>170410</v>
      </c>
      <c r="L83" s="0" t="n">
        <v>170394</v>
      </c>
      <c r="M83" s="0" t="n">
        <v>159103</v>
      </c>
      <c r="N83" s="0" t="n">
        <v>160234</v>
      </c>
      <c r="O83" s="0" t="n">
        <v>170341</v>
      </c>
      <c r="P83" s="0" t="n">
        <v>170398</v>
      </c>
      <c r="Q83" s="0" t="n">
        <v>151690</v>
      </c>
      <c r="R83" s="0" t="n">
        <v>164461</v>
      </c>
      <c r="S83" s="0" t="n">
        <v>155007</v>
      </c>
      <c r="T83" s="0" t="n">
        <v>148830</v>
      </c>
      <c r="U83" s="0" t="n">
        <v>151830</v>
      </c>
      <c r="V83" s="0" t="n">
        <v>100518</v>
      </c>
      <c r="W83" s="0" t="n">
        <f aca="false">IF(SUMPRODUCT(COUNTIF($C83:$L83,M83:M83))&gt;0,1,0)</f>
        <v>0</v>
      </c>
      <c r="X83" s="0" t="n">
        <f aca="false">IF(SUMPRODUCT(COUNTIF($C83:$L83,M83:O83))&gt;0,1,0)</f>
        <v>0</v>
      </c>
      <c r="Y83" s="0" t="n">
        <f aca="false">IF(SUMPRODUCT(COUNTIF($C83:$L83,M83:Q83))&gt;0,1,0)</f>
        <v>1</v>
      </c>
      <c r="Z83" s="0" t="n">
        <f aca="false">IF(SUMPRODUCT(COUNTIF($C83:$L83,M83:V83))&gt;0,1,0)</f>
        <v>1</v>
      </c>
      <c r="AA83" s="0" t="n">
        <f aca="false">IF(COUNTIF(M83:M83,$C83)&gt;0,1,0)</f>
        <v>0</v>
      </c>
      <c r="AB83" s="0" t="n">
        <f aca="false">IF(COUNTIF(M83:O83,$C83)&gt;0,1,0)</f>
        <v>0</v>
      </c>
      <c r="AC83" s="0" t="n">
        <f aca="false">IF(COUNTIF(M83:Q83,$C83)&gt;0,1,0)</f>
        <v>0</v>
      </c>
      <c r="AD83" s="0" t="n">
        <f aca="false">IF(COUNTIF(M83:V83,$C83)&gt;0,1,0)</f>
        <v>1</v>
      </c>
      <c r="AE83" s="0" t="n">
        <f aca="false">IFERROR(MATCH(1,INDEX(--(COUNTIF($C83:$L83,M83:V83)&gt;0),0),0),"")</f>
        <v>5</v>
      </c>
      <c r="AF83" s="0" t="n">
        <v>8374</v>
      </c>
    </row>
    <row r="84" customFormat="false" ht="15" hidden="false" customHeight="false" outlineLevel="0" collapsed="false">
      <c r="A84" s="0" t="s">
        <v>196</v>
      </c>
      <c r="B84" s="0" t="s">
        <v>197</v>
      </c>
      <c r="C84" s="0" t="n">
        <v>196395</v>
      </c>
      <c r="D84" s="0" t="n">
        <v>170394</v>
      </c>
      <c r="E84" s="0" t="n">
        <v>148682</v>
      </c>
      <c r="F84" s="0" t="n">
        <v>102432</v>
      </c>
      <c r="G84" s="0" t="n">
        <v>199353</v>
      </c>
      <c r="H84" s="0" t="n">
        <v>180574</v>
      </c>
      <c r="I84" s="0" t="n">
        <v>195011</v>
      </c>
      <c r="J84" s="0" t="n">
        <v>107945</v>
      </c>
      <c r="K84" s="0" t="n">
        <v>196082</v>
      </c>
      <c r="L84" s="0" t="n">
        <v>159100</v>
      </c>
      <c r="M84" s="0" t="n">
        <v>18721</v>
      </c>
      <c r="N84" s="0" t="n">
        <v>159103</v>
      </c>
      <c r="O84" s="0" t="n">
        <v>11783</v>
      </c>
      <c r="P84" s="0" t="n">
        <v>99335</v>
      </c>
      <c r="Q84" s="0" t="n">
        <v>21749</v>
      </c>
      <c r="R84" s="0" t="n">
        <v>76573</v>
      </c>
      <c r="S84" s="0" t="n">
        <v>121099</v>
      </c>
      <c r="T84" s="0" t="n">
        <v>190126</v>
      </c>
      <c r="U84" s="0" t="n">
        <v>139540</v>
      </c>
      <c r="V84" s="0" t="n">
        <v>148063</v>
      </c>
      <c r="W84" s="0" t="n">
        <f aca="false">IF(SUMPRODUCT(COUNTIF($C84:$L84,M84:M84))&gt;0,1,0)</f>
        <v>0</v>
      </c>
      <c r="X84" s="0" t="n">
        <f aca="false">IF(SUMPRODUCT(COUNTIF($C84:$L84,M84:O84))&gt;0,1,0)</f>
        <v>0</v>
      </c>
      <c r="Y84" s="0" t="n">
        <f aca="false">IF(SUMPRODUCT(COUNTIF($C84:$L84,M84:Q84))&gt;0,1,0)</f>
        <v>0</v>
      </c>
      <c r="Z84" s="0" t="n">
        <f aca="false">IF(SUMPRODUCT(COUNTIF($C84:$L84,M84:V84))&gt;0,1,0)</f>
        <v>0</v>
      </c>
      <c r="AA84" s="0" t="n">
        <f aca="false">IF(COUNTIF(M84:M84,$C84)&gt;0,1,0)</f>
        <v>0</v>
      </c>
      <c r="AB84" s="0" t="n">
        <f aca="false">IF(COUNTIF(M84:O84,$C84)&gt;0,1,0)</f>
        <v>0</v>
      </c>
      <c r="AC84" s="0" t="n">
        <f aca="false">IF(COUNTIF(M84:Q84,$C84)&gt;0,1,0)</f>
        <v>0</v>
      </c>
      <c r="AD84" s="0" t="n">
        <f aca="false">IF(COUNTIF(M84:V84,$C84)&gt;0,1,0)</f>
        <v>0</v>
      </c>
      <c r="AE84" s="0" t="str">
        <f aca="false">IFERROR(MATCH(1,INDEX(--(COUNTIF($C84:$L84,M84:V84)&gt;0),0),0),"")</f>
        <v/>
      </c>
      <c r="AF84" s="0" t="n">
        <v>7325</v>
      </c>
    </row>
    <row r="85" customFormat="false" ht="15" hidden="false" customHeight="false" outlineLevel="0" collapsed="false">
      <c r="A85" s="0" t="s">
        <v>198</v>
      </c>
      <c r="B85" s="0" t="s">
        <v>199</v>
      </c>
      <c r="C85" s="0" t="n">
        <v>151692</v>
      </c>
      <c r="D85" s="0" t="n">
        <v>155009</v>
      </c>
      <c r="E85" s="0" t="n">
        <v>159100</v>
      </c>
      <c r="F85" s="0" t="n">
        <v>170410</v>
      </c>
      <c r="G85" s="0" t="n">
        <v>170394</v>
      </c>
      <c r="H85" s="0" t="n">
        <v>92824</v>
      </c>
      <c r="I85" s="0" t="n">
        <v>125331</v>
      </c>
      <c r="J85" s="0" t="n">
        <v>109738</v>
      </c>
      <c r="K85" s="0" t="n">
        <v>123746</v>
      </c>
      <c r="L85" s="0" t="n">
        <v>199492</v>
      </c>
      <c r="M85" s="0" t="n">
        <v>151830</v>
      </c>
      <c r="N85" s="0" t="n">
        <v>159103</v>
      </c>
      <c r="O85" s="0" t="n">
        <v>148830</v>
      </c>
      <c r="P85" s="0" t="n">
        <v>160234</v>
      </c>
      <c r="Q85" s="0" t="n">
        <v>164465</v>
      </c>
      <c r="R85" s="0" t="n">
        <v>148063</v>
      </c>
      <c r="S85" s="0" t="n">
        <v>100518</v>
      </c>
      <c r="T85" s="0" t="n">
        <v>145995</v>
      </c>
      <c r="U85" s="0" t="n">
        <v>145994</v>
      </c>
      <c r="V85" s="0" t="n">
        <v>170410</v>
      </c>
      <c r="W85" s="0" t="n">
        <f aca="false">IF(SUMPRODUCT(COUNTIF($C85:$L85,M85:M85))&gt;0,1,0)</f>
        <v>0</v>
      </c>
      <c r="X85" s="0" t="n">
        <f aca="false">IF(SUMPRODUCT(COUNTIF($C85:$L85,M85:O85))&gt;0,1,0)</f>
        <v>0</v>
      </c>
      <c r="Y85" s="0" t="n">
        <f aca="false">IF(SUMPRODUCT(COUNTIF($C85:$L85,M85:Q85))&gt;0,1,0)</f>
        <v>0</v>
      </c>
      <c r="Z85" s="0" t="n">
        <f aca="false">IF(SUMPRODUCT(COUNTIF($C85:$L85,M85:V85))&gt;0,1,0)</f>
        <v>1</v>
      </c>
      <c r="AA85" s="0" t="n">
        <f aca="false">IF(COUNTIF(M85:M85,$C85)&gt;0,1,0)</f>
        <v>0</v>
      </c>
      <c r="AB85" s="0" t="n">
        <f aca="false">IF(COUNTIF(M85:O85,$C85)&gt;0,1,0)</f>
        <v>0</v>
      </c>
      <c r="AC85" s="0" t="n">
        <f aca="false">IF(COUNTIF(M85:Q85,$C85)&gt;0,1,0)</f>
        <v>0</v>
      </c>
      <c r="AD85" s="0" t="n">
        <f aca="false">IF(COUNTIF(M85:V85,$C85)&gt;0,1,0)</f>
        <v>0</v>
      </c>
      <c r="AE85" s="0" t="n">
        <f aca="false">IFERROR(MATCH(1,INDEX(--(COUNTIF($C85:$L85,M85:V85)&gt;0),0),0),"")</f>
        <v>10</v>
      </c>
      <c r="AF85" s="0" t="n">
        <v>6957</v>
      </c>
    </row>
    <row r="86" customFormat="false" ht="15" hidden="false" customHeight="false" outlineLevel="0" collapsed="false">
      <c r="A86" s="0" t="s">
        <v>200</v>
      </c>
      <c r="B86" s="0" t="s">
        <v>201</v>
      </c>
      <c r="C86" s="0" t="n">
        <v>3954</v>
      </c>
      <c r="D86" s="0" t="n">
        <v>133668</v>
      </c>
      <c r="E86" s="0" t="n">
        <v>175841</v>
      </c>
      <c r="F86" s="0" t="n">
        <v>161268</v>
      </c>
      <c r="G86" s="0" t="n">
        <v>3672</v>
      </c>
      <c r="H86" s="0" t="n">
        <v>65100</v>
      </c>
      <c r="I86" s="0" t="n">
        <v>185681</v>
      </c>
      <c r="J86" s="0" t="n">
        <v>188576</v>
      </c>
      <c r="K86" s="0" t="n">
        <v>103070</v>
      </c>
      <c r="L86" s="0" t="n">
        <v>133663</v>
      </c>
      <c r="M86" s="0" t="n">
        <v>3672</v>
      </c>
      <c r="N86" s="0" t="n">
        <v>133668</v>
      </c>
      <c r="O86" s="0" t="n">
        <v>3954</v>
      </c>
      <c r="P86" s="0" t="n">
        <v>161271</v>
      </c>
      <c r="Q86" s="0" t="n">
        <v>175885</v>
      </c>
      <c r="R86" s="0" t="n">
        <v>22220</v>
      </c>
      <c r="S86" s="0" t="n">
        <v>175841</v>
      </c>
      <c r="T86" s="0" t="n">
        <v>196253</v>
      </c>
      <c r="U86" s="0" t="n">
        <v>161121</v>
      </c>
      <c r="V86" s="0" t="n">
        <v>196252</v>
      </c>
      <c r="W86" s="0" t="n">
        <f aca="false">IF(SUMPRODUCT(COUNTIF($C86:$L86,M86:M86))&gt;0,1,0)</f>
        <v>1</v>
      </c>
      <c r="X86" s="0" t="n">
        <f aca="false">IF(SUMPRODUCT(COUNTIF($C86:$L86,M86:O86))&gt;0,1,0)</f>
        <v>1</v>
      </c>
      <c r="Y86" s="0" t="n">
        <f aca="false">IF(SUMPRODUCT(COUNTIF($C86:$L86,M86:Q86))&gt;0,1,0)</f>
        <v>1</v>
      </c>
      <c r="Z86" s="0" t="n">
        <f aca="false">IF(SUMPRODUCT(COUNTIF($C86:$L86,M86:V86))&gt;0,1,0)</f>
        <v>1</v>
      </c>
      <c r="AA86" s="0" t="n">
        <f aca="false">IF(COUNTIF(M86:M86,$C86)&gt;0,1,0)</f>
        <v>0</v>
      </c>
      <c r="AB86" s="0" t="n">
        <f aca="false">IF(COUNTIF(M86:O86,$C86)&gt;0,1,0)</f>
        <v>1</v>
      </c>
      <c r="AC86" s="0" t="n">
        <f aca="false">IF(COUNTIF(M86:Q86,$C86)&gt;0,1,0)</f>
        <v>1</v>
      </c>
      <c r="AD86" s="0" t="n">
        <f aca="false">IF(COUNTIF(M86:V86,$C86)&gt;0,1,0)</f>
        <v>1</v>
      </c>
      <c r="AE86" s="0" t="n">
        <f aca="false">IFERROR(MATCH(1,INDEX(--(COUNTIF($C86:$L86,M86:V86)&gt;0),0),0),"")</f>
        <v>1</v>
      </c>
      <c r="AF86" s="0" t="n">
        <v>6616</v>
      </c>
    </row>
    <row r="87" customFormat="false" ht="15" hidden="false" customHeight="false" outlineLevel="0" collapsed="false">
      <c r="A87" s="0" t="s">
        <v>202</v>
      </c>
      <c r="B87" s="0" t="s">
        <v>203</v>
      </c>
      <c r="C87" s="0" t="n">
        <v>114985</v>
      </c>
      <c r="D87" s="0" t="n">
        <v>17470</v>
      </c>
      <c r="E87" s="0" t="n">
        <v>41287</v>
      </c>
      <c r="F87" s="0" t="n">
        <v>177987</v>
      </c>
      <c r="G87" s="0" t="n">
        <v>18057</v>
      </c>
      <c r="H87" s="0" t="n">
        <v>151590</v>
      </c>
      <c r="I87" s="0" t="n">
        <v>173619</v>
      </c>
      <c r="J87" s="0" t="n">
        <v>169149</v>
      </c>
      <c r="K87" s="0" t="n">
        <v>170171</v>
      </c>
      <c r="L87" s="0" t="n">
        <v>170200</v>
      </c>
      <c r="M87" s="0" t="n">
        <v>39245</v>
      </c>
      <c r="N87" s="0" t="n">
        <v>18058</v>
      </c>
      <c r="O87" s="0" t="n">
        <v>19465</v>
      </c>
      <c r="P87" s="0" t="n">
        <v>18056</v>
      </c>
      <c r="Q87" s="0" t="n">
        <v>200339</v>
      </c>
      <c r="R87" s="0" t="n">
        <v>71970</v>
      </c>
      <c r="S87" s="0" t="n">
        <v>32480</v>
      </c>
      <c r="T87" s="0" t="n">
        <v>113390</v>
      </c>
      <c r="U87" s="0" t="n">
        <v>114536</v>
      </c>
      <c r="V87" s="0" t="n">
        <v>115009</v>
      </c>
      <c r="W87" s="0" t="n">
        <f aca="false">IF(SUMPRODUCT(COUNTIF($C87:$L87,M87:M87))&gt;0,1,0)</f>
        <v>0</v>
      </c>
      <c r="X87" s="0" t="n">
        <f aca="false">IF(SUMPRODUCT(COUNTIF($C87:$L87,M87:O87))&gt;0,1,0)</f>
        <v>0</v>
      </c>
      <c r="Y87" s="0" t="n">
        <f aca="false">IF(SUMPRODUCT(COUNTIF($C87:$L87,M87:Q87))&gt;0,1,0)</f>
        <v>0</v>
      </c>
      <c r="Z87" s="0" t="n">
        <f aca="false">IF(SUMPRODUCT(COUNTIF($C87:$L87,M87:V87))&gt;0,1,0)</f>
        <v>0</v>
      </c>
      <c r="AA87" s="0" t="n">
        <f aca="false">IF(COUNTIF(M87:M87,$C87)&gt;0,1,0)</f>
        <v>0</v>
      </c>
      <c r="AB87" s="0" t="n">
        <f aca="false">IF(COUNTIF(M87:O87,$C87)&gt;0,1,0)</f>
        <v>0</v>
      </c>
      <c r="AC87" s="0" t="n">
        <f aca="false">IF(COUNTIF(M87:Q87,$C87)&gt;0,1,0)</f>
        <v>0</v>
      </c>
      <c r="AD87" s="0" t="n">
        <f aca="false">IF(COUNTIF(M87:V87,$C87)&gt;0,1,0)</f>
        <v>0</v>
      </c>
      <c r="AE87" s="0" t="str">
        <f aca="false">IFERROR(MATCH(1,INDEX(--(COUNTIF($C87:$L87,M87:V87)&gt;0),0),0),"")</f>
        <v/>
      </c>
      <c r="AF87" s="0" t="n">
        <v>6828</v>
      </c>
    </row>
    <row r="88" customFormat="false" ht="15" hidden="false" customHeight="false" outlineLevel="0" collapsed="false">
      <c r="A88" s="0" t="s">
        <v>204</v>
      </c>
      <c r="B88" s="0" t="s">
        <v>205</v>
      </c>
      <c r="C88" s="0" t="n">
        <v>134881</v>
      </c>
      <c r="D88" s="0" t="n">
        <v>196082</v>
      </c>
      <c r="E88" s="0" t="n">
        <v>148682</v>
      </c>
      <c r="F88" s="0" t="n">
        <v>107945</v>
      </c>
      <c r="G88" s="0" t="n">
        <v>199353</v>
      </c>
      <c r="H88" s="0" t="n">
        <v>157610</v>
      </c>
      <c r="I88" s="0" t="n">
        <v>159100</v>
      </c>
      <c r="J88" s="0" t="n">
        <v>134878</v>
      </c>
      <c r="K88" s="0" t="n">
        <v>170051</v>
      </c>
      <c r="L88" s="0" t="n">
        <v>170081</v>
      </c>
      <c r="M88" s="0" t="n">
        <v>159103</v>
      </c>
      <c r="N88" s="0" t="n">
        <v>134881</v>
      </c>
      <c r="O88" s="0" t="n">
        <v>170383</v>
      </c>
      <c r="P88" s="0" t="n">
        <v>30778</v>
      </c>
      <c r="Q88" s="0" t="n">
        <v>127496</v>
      </c>
      <c r="R88" s="0" t="n">
        <v>160234</v>
      </c>
      <c r="S88" s="0" t="n">
        <v>148063</v>
      </c>
      <c r="T88" s="0" t="n">
        <v>134878</v>
      </c>
      <c r="U88" s="0" t="n">
        <v>196082</v>
      </c>
      <c r="V88" s="0" t="n">
        <v>148682</v>
      </c>
      <c r="W88" s="0" t="n">
        <f aca="false">IF(SUMPRODUCT(COUNTIF($C88:$L88,M88:M88))&gt;0,1,0)</f>
        <v>0</v>
      </c>
      <c r="X88" s="0" t="n">
        <f aca="false">IF(SUMPRODUCT(COUNTIF($C88:$L88,M88:O88))&gt;0,1,0)</f>
        <v>1</v>
      </c>
      <c r="Y88" s="0" t="n">
        <f aca="false">IF(SUMPRODUCT(COUNTIF($C88:$L88,M88:Q88))&gt;0,1,0)</f>
        <v>1</v>
      </c>
      <c r="Z88" s="0" t="n">
        <f aca="false">IF(SUMPRODUCT(COUNTIF($C88:$L88,M88:V88))&gt;0,1,0)</f>
        <v>1</v>
      </c>
      <c r="AA88" s="0" t="n">
        <f aca="false">IF(COUNTIF(M88:M88,$C88)&gt;0,1,0)</f>
        <v>0</v>
      </c>
      <c r="AB88" s="0" t="n">
        <f aca="false">IF(COUNTIF(M88:O88,$C88)&gt;0,1,0)</f>
        <v>1</v>
      </c>
      <c r="AC88" s="0" t="n">
        <f aca="false">IF(COUNTIF(M88:Q88,$C88)&gt;0,1,0)</f>
        <v>1</v>
      </c>
      <c r="AD88" s="0" t="n">
        <f aca="false">IF(COUNTIF(M88:V88,$C88)&gt;0,1,0)</f>
        <v>1</v>
      </c>
      <c r="AE88" s="0" t="n">
        <f aca="false">IFERROR(MATCH(1,INDEX(--(COUNTIF($C88:$L88,M88:V88)&gt;0),0),0),"")</f>
        <v>2</v>
      </c>
      <c r="AF88" s="0" t="n">
        <v>6933</v>
      </c>
    </row>
    <row r="89" customFormat="false" ht="15" hidden="false" customHeight="false" outlineLevel="0" collapsed="false">
      <c r="A89" s="0" t="s">
        <v>206</v>
      </c>
      <c r="B89" s="0" t="s">
        <v>207</v>
      </c>
      <c r="C89" s="0" t="n">
        <v>175142</v>
      </c>
      <c r="D89" s="0" t="n">
        <v>132584</v>
      </c>
      <c r="E89" s="0" t="n">
        <v>197391</v>
      </c>
      <c r="F89" s="0" t="n">
        <v>189061</v>
      </c>
      <c r="G89" s="0" t="n">
        <v>61967</v>
      </c>
      <c r="H89" s="0" t="n">
        <v>4172</v>
      </c>
      <c r="I89" s="0" t="n">
        <v>61968</v>
      </c>
      <c r="J89" s="0" t="n">
        <v>147902</v>
      </c>
      <c r="K89" s="0" t="n">
        <v>144342</v>
      </c>
      <c r="L89" s="0" t="n">
        <v>197395</v>
      </c>
      <c r="M89" s="0" t="n">
        <v>3680</v>
      </c>
      <c r="N89" s="0" t="n">
        <v>4172</v>
      </c>
      <c r="O89" s="0" t="n">
        <v>175142</v>
      </c>
      <c r="P89" s="0" t="n">
        <v>36190</v>
      </c>
      <c r="Q89" s="0" t="n">
        <v>197394</v>
      </c>
      <c r="R89" s="0" t="n">
        <v>144342</v>
      </c>
      <c r="S89" s="0" t="n">
        <v>197391</v>
      </c>
      <c r="T89" s="0" t="n">
        <v>9745</v>
      </c>
      <c r="U89" s="0" t="n">
        <v>80547</v>
      </c>
      <c r="V89" s="0" t="n">
        <v>197397</v>
      </c>
      <c r="W89" s="0" t="n">
        <f aca="false">IF(SUMPRODUCT(COUNTIF($C89:$L89,M89:M89))&gt;0,1,0)</f>
        <v>0</v>
      </c>
      <c r="X89" s="0" t="n">
        <f aca="false">IF(SUMPRODUCT(COUNTIF($C89:$L89,M89:O89))&gt;0,1,0)</f>
        <v>1</v>
      </c>
      <c r="Y89" s="0" t="n">
        <f aca="false">IF(SUMPRODUCT(COUNTIF($C89:$L89,M89:Q89))&gt;0,1,0)</f>
        <v>1</v>
      </c>
      <c r="Z89" s="0" t="n">
        <f aca="false">IF(SUMPRODUCT(COUNTIF($C89:$L89,M89:V89))&gt;0,1,0)</f>
        <v>1</v>
      </c>
      <c r="AA89" s="0" t="n">
        <f aca="false">IF(COUNTIF(M89:M89,$C89)&gt;0,1,0)</f>
        <v>0</v>
      </c>
      <c r="AB89" s="0" t="n">
        <f aca="false">IF(COUNTIF(M89:O89,$C89)&gt;0,1,0)</f>
        <v>1</v>
      </c>
      <c r="AC89" s="0" t="n">
        <f aca="false">IF(COUNTIF(M89:Q89,$C89)&gt;0,1,0)</f>
        <v>1</v>
      </c>
      <c r="AD89" s="0" t="n">
        <f aca="false">IF(COUNTIF(M89:V89,$C89)&gt;0,1,0)</f>
        <v>1</v>
      </c>
      <c r="AE89" s="0" t="n">
        <f aca="false">IFERROR(MATCH(1,INDEX(--(COUNTIF($C89:$L89,M89:V89)&gt;0),0),0),"")</f>
        <v>2</v>
      </c>
      <c r="AF89" s="0" t="n">
        <v>7088</v>
      </c>
    </row>
    <row r="90" customFormat="false" ht="15" hidden="false" customHeight="false" outlineLevel="0" collapsed="false">
      <c r="A90" s="0" t="s">
        <v>208</v>
      </c>
      <c r="B90" s="0" t="s">
        <v>209</v>
      </c>
      <c r="C90" s="0" t="n">
        <v>103797</v>
      </c>
      <c r="D90" s="0" t="n">
        <v>160005</v>
      </c>
      <c r="E90" s="0" t="n">
        <v>160006</v>
      </c>
      <c r="F90" s="0" t="n">
        <v>3969</v>
      </c>
      <c r="G90" s="0" t="n">
        <v>127144</v>
      </c>
      <c r="H90" s="0" t="n">
        <v>179256</v>
      </c>
      <c r="I90" s="0" t="n">
        <v>46813</v>
      </c>
      <c r="J90" s="0" t="n">
        <v>46815</v>
      </c>
      <c r="K90" s="0" t="n">
        <v>46814</v>
      </c>
      <c r="L90" s="0" t="n">
        <v>83322</v>
      </c>
      <c r="M90" s="0" t="n">
        <v>106091</v>
      </c>
      <c r="N90" s="0" t="n">
        <v>130501</v>
      </c>
      <c r="O90" s="0" t="n">
        <v>157944</v>
      </c>
      <c r="P90" s="0" t="n">
        <v>157960</v>
      </c>
      <c r="Q90" s="0" t="n">
        <v>103797</v>
      </c>
      <c r="R90" s="0" t="n">
        <v>36386</v>
      </c>
      <c r="S90" s="0" t="n">
        <v>160005</v>
      </c>
      <c r="T90" s="0" t="n">
        <v>139972</v>
      </c>
      <c r="U90" s="0" t="n">
        <v>52103</v>
      </c>
      <c r="V90" s="0" t="n">
        <v>103800</v>
      </c>
      <c r="W90" s="0" t="n">
        <f aca="false">IF(SUMPRODUCT(COUNTIF($C90:$L90,M90:M90))&gt;0,1,0)</f>
        <v>0</v>
      </c>
      <c r="X90" s="0" t="n">
        <f aca="false">IF(SUMPRODUCT(COUNTIF($C90:$L90,M90:O90))&gt;0,1,0)</f>
        <v>0</v>
      </c>
      <c r="Y90" s="0" t="n">
        <f aca="false">IF(SUMPRODUCT(COUNTIF($C90:$L90,M90:Q90))&gt;0,1,0)</f>
        <v>1</v>
      </c>
      <c r="Z90" s="0" t="n">
        <f aca="false">IF(SUMPRODUCT(COUNTIF($C90:$L90,M90:V90))&gt;0,1,0)</f>
        <v>1</v>
      </c>
      <c r="AA90" s="0" t="n">
        <f aca="false">IF(COUNTIF(M90:M90,$C90)&gt;0,1,0)</f>
        <v>0</v>
      </c>
      <c r="AB90" s="0" t="n">
        <f aca="false">IF(COUNTIF(M90:O90,$C90)&gt;0,1,0)</f>
        <v>0</v>
      </c>
      <c r="AC90" s="0" t="n">
        <f aca="false">IF(COUNTIF(M90:Q90,$C90)&gt;0,1,0)</f>
        <v>1</v>
      </c>
      <c r="AD90" s="0" t="n">
        <f aca="false">IF(COUNTIF(M90:V90,$C90)&gt;0,1,0)</f>
        <v>1</v>
      </c>
      <c r="AE90" s="0" t="n">
        <f aca="false">IFERROR(MATCH(1,INDEX(--(COUNTIF($C90:$L90,M90:V90)&gt;0),0),0),"")</f>
        <v>5</v>
      </c>
      <c r="AF90" s="0" t="n">
        <v>8068</v>
      </c>
    </row>
    <row r="91" customFormat="false" ht="15" hidden="false" customHeight="false" outlineLevel="0" collapsed="false">
      <c r="A91" s="0" t="s">
        <v>210</v>
      </c>
      <c r="B91" s="0" t="s">
        <v>211</v>
      </c>
      <c r="C91" s="0" t="n">
        <v>36027</v>
      </c>
      <c r="D91" s="0" t="n">
        <v>107273</v>
      </c>
      <c r="E91" s="0" t="n">
        <v>107253</v>
      </c>
      <c r="F91" s="0" t="n">
        <v>36011</v>
      </c>
      <c r="G91" s="0" t="n">
        <v>145206</v>
      </c>
      <c r="H91" s="0" t="n">
        <v>117716</v>
      </c>
      <c r="I91" s="0" t="n">
        <v>117715</v>
      </c>
      <c r="J91" s="0" t="n">
        <v>36019</v>
      </c>
      <c r="K91" s="0" t="n">
        <v>107251</v>
      </c>
      <c r="L91" s="0" t="n">
        <v>147874</v>
      </c>
      <c r="M91" s="0" t="n">
        <v>110099</v>
      </c>
      <c r="N91" s="0" t="n">
        <v>36027</v>
      </c>
      <c r="O91" s="0" t="n">
        <v>107293</v>
      </c>
      <c r="P91" s="0" t="n">
        <v>159103</v>
      </c>
      <c r="Q91" s="0" t="n">
        <v>144278</v>
      </c>
      <c r="R91" s="0" t="n">
        <v>174990</v>
      </c>
      <c r="S91" s="0" t="n">
        <v>155546</v>
      </c>
      <c r="T91" s="0" t="n">
        <v>36833</v>
      </c>
      <c r="U91" s="0" t="n">
        <v>199713</v>
      </c>
      <c r="V91" s="0" t="n">
        <v>168787</v>
      </c>
      <c r="W91" s="0" t="n">
        <f aca="false">IF(SUMPRODUCT(COUNTIF($C91:$L91,M91:M91))&gt;0,1,0)</f>
        <v>0</v>
      </c>
      <c r="X91" s="0" t="n">
        <f aca="false">IF(SUMPRODUCT(COUNTIF($C91:$L91,M91:O91))&gt;0,1,0)</f>
        <v>1</v>
      </c>
      <c r="Y91" s="0" t="n">
        <f aca="false">IF(SUMPRODUCT(COUNTIF($C91:$L91,M91:Q91))&gt;0,1,0)</f>
        <v>1</v>
      </c>
      <c r="Z91" s="0" t="n">
        <f aca="false">IF(SUMPRODUCT(COUNTIF($C91:$L91,M91:V91))&gt;0,1,0)</f>
        <v>1</v>
      </c>
      <c r="AA91" s="0" t="n">
        <f aca="false">IF(COUNTIF(M91:M91,$C91)&gt;0,1,0)</f>
        <v>0</v>
      </c>
      <c r="AB91" s="0" t="n">
        <f aca="false">IF(COUNTIF(M91:O91,$C91)&gt;0,1,0)</f>
        <v>1</v>
      </c>
      <c r="AC91" s="0" t="n">
        <f aca="false">IF(COUNTIF(M91:Q91,$C91)&gt;0,1,0)</f>
        <v>1</v>
      </c>
      <c r="AD91" s="0" t="n">
        <f aca="false">IF(COUNTIF(M91:V91,$C91)&gt;0,1,0)</f>
        <v>1</v>
      </c>
      <c r="AE91" s="0" t="n">
        <f aca="false">IFERROR(MATCH(1,INDEX(--(COUNTIF($C91:$L91,M91:V91)&gt;0),0),0),"")</f>
        <v>2</v>
      </c>
      <c r="AF91" s="0" t="n">
        <v>8063</v>
      </c>
    </row>
    <row r="92" customFormat="false" ht="15" hidden="false" customHeight="false" outlineLevel="0" collapsed="false">
      <c r="A92" s="0" t="s">
        <v>212</v>
      </c>
      <c r="B92" s="0" t="s">
        <v>213</v>
      </c>
      <c r="C92" s="0" t="n">
        <v>199353</v>
      </c>
      <c r="D92" s="0" t="n">
        <v>196082</v>
      </c>
      <c r="E92" s="0" t="n">
        <v>148682</v>
      </c>
      <c r="F92" s="0" t="n">
        <v>107945</v>
      </c>
      <c r="G92" s="0" t="n">
        <v>157610</v>
      </c>
      <c r="H92" s="0" t="n">
        <v>127496</v>
      </c>
      <c r="I92" s="0" t="n">
        <v>134878</v>
      </c>
      <c r="J92" s="0" t="n">
        <v>134881</v>
      </c>
      <c r="K92" s="0" t="n">
        <v>29018</v>
      </c>
      <c r="L92" s="0" t="n">
        <v>45895</v>
      </c>
      <c r="M92" s="0" t="n">
        <v>127496</v>
      </c>
      <c r="N92" s="0" t="n">
        <v>18721</v>
      </c>
      <c r="O92" s="0" t="n">
        <v>134878</v>
      </c>
      <c r="P92" s="0" t="n">
        <v>134881</v>
      </c>
      <c r="Q92" s="0" t="n">
        <v>199353</v>
      </c>
      <c r="R92" s="0" t="n">
        <v>107945</v>
      </c>
      <c r="S92" s="0" t="n">
        <v>78575</v>
      </c>
      <c r="T92" s="0" t="n">
        <v>158364</v>
      </c>
      <c r="U92" s="0" t="n">
        <v>47010</v>
      </c>
      <c r="V92" s="0" t="n">
        <v>17529</v>
      </c>
      <c r="W92" s="0" t="n">
        <f aca="false">IF(SUMPRODUCT(COUNTIF($C92:$L92,M92:M92))&gt;0,1,0)</f>
        <v>1</v>
      </c>
      <c r="X92" s="0" t="n">
        <f aca="false">IF(SUMPRODUCT(COUNTIF($C92:$L92,M92:O92))&gt;0,1,0)</f>
        <v>1</v>
      </c>
      <c r="Y92" s="0" t="n">
        <f aca="false">IF(SUMPRODUCT(COUNTIF($C92:$L92,M92:Q92))&gt;0,1,0)</f>
        <v>1</v>
      </c>
      <c r="Z92" s="0" t="n">
        <f aca="false">IF(SUMPRODUCT(COUNTIF($C92:$L92,M92:V92))&gt;0,1,0)</f>
        <v>1</v>
      </c>
      <c r="AA92" s="0" t="n">
        <f aca="false">IF(COUNTIF(M92:M92,$C92)&gt;0,1,0)</f>
        <v>0</v>
      </c>
      <c r="AB92" s="0" t="n">
        <f aca="false">IF(COUNTIF(M92:O92,$C92)&gt;0,1,0)</f>
        <v>0</v>
      </c>
      <c r="AC92" s="0" t="n">
        <f aca="false">IF(COUNTIF(M92:Q92,$C92)&gt;0,1,0)</f>
        <v>1</v>
      </c>
      <c r="AD92" s="0" t="n">
        <f aca="false">IF(COUNTIF(M92:V92,$C92)&gt;0,1,0)</f>
        <v>1</v>
      </c>
      <c r="AE92" s="0" t="n">
        <f aca="false">IFERROR(MATCH(1,INDEX(--(COUNTIF($C92:$L92,M92:V92)&gt;0),0),0),"")</f>
        <v>1</v>
      </c>
      <c r="AF92" s="0" t="n">
        <v>8637</v>
      </c>
    </row>
    <row r="93" customFormat="false" ht="15" hidden="false" customHeight="false" outlineLevel="0" collapsed="false">
      <c r="A93" s="0" t="s">
        <v>214</v>
      </c>
      <c r="B93" s="0" t="s">
        <v>215</v>
      </c>
      <c r="C93" s="0" t="n">
        <v>61968</v>
      </c>
      <c r="D93" s="0" t="n">
        <v>197391</v>
      </c>
      <c r="E93" s="0" t="n">
        <v>175142</v>
      </c>
      <c r="F93" s="0" t="n">
        <v>157944</v>
      </c>
      <c r="G93" s="0" t="n">
        <v>4172</v>
      </c>
      <c r="H93" s="0" t="n">
        <v>95551</v>
      </c>
      <c r="I93" s="0" t="n">
        <v>159656</v>
      </c>
      <c r="J93" s="0" t="n">
        <v>119583</v>
      </c>
      <c r="K93" s="0" t="n">
        <v>166371</v>
      </c>
      <c r="L93" s="0" t="n">
        <v>189061</v>
      </c>
      <c r="M93" s="0" t="n">
        <v>4172</v>
      </c>
      <c r="N93" s="0" t="n">
        <v>175142</v>
      </c>
      <c r="O93" s="0" t="n">
        <v>197391</v>
      </c>
      <c r="P93" s="0" t="n">
        <v>166374</v>
      </c>
      <c r="Q93" s="0" t="n">
        <v>95551</v>
      </c>
      <c r="R93" s="0" t="n">
        <v>3680</v>
      </c>
      <c r="S93" s="0" t="n">
        <v>197394</v>
      </c>
      <c r="T93" s="0" t="n">
        <v>24072</v>
      </c>
      <c r="U93" s="0" t="n">
        <v>127150</v>
      </c>
      <c r="V93" s="0" t="n">
        <v>166371</v>
      </c>
      <c r="W93" s="0" t="n">
        <f aca="false">IF(SUMPRODUCT(COUNTIF($C93:$L93,M93:M93))&gt;0,1,0)</f>
        <v>1</v>
      </c>
      <c r="X93" s="0" t="n">
        <f aca="false">IF(SUMPRODUCT(COUNTIF($C93:$L93,M93:O93))&gt;0,1,0)</f>
        <v>1</v>
      </c>
      <c r="Y93" s="0" t="n">
        <f aca="false">IF(SUMPRODUCT(COUNTIF($C93:$L93,M93:Q93))&gt;0,1,0)</f>
        <v>1</v>
      </c>
      <c r="Z93" s="0" t="n">
        <f aca="false">IF(SUMPRODUCT(COUNTIF($C93:$L93,M93:V93))&gt;0,1,0)</f>
        <v>1</v>
      </c>
      <c r="AA93" s="0" t="n">
        <f aca="false">IF(COUNTIF(M93:M93,$C93)&gt;0,1,0)</f>
        <v>0</v>
      </c>
      <c r="AB93" s="0" t="n">
        <f aca="false">IF(COUNTIF(M93:O93,$C93)&gt;0,1,0)</f>
        <v>0</v>
      </c>
      <c r="AC93" s="0" t="n">
        <f aca="false">IF(COUNTIF(M93:Q93,$C93)&gt;0,1,0)</f>
        <v>0</v>
      </c>
      <c r="AD93" s="0" t="n">
        <f aca="false">IF(COUNTIF(M93:V93,$C93)&gt;0,1,0)</f>
        <v>0</v>
      </c>
      <c r="AE93" s="0" t="n">
        <f aca="false">IFERROR(MATCH(1,INDEX(--(COUNTIF($C93:$L93,M93:V93)&gt;0),0),0),"")</f>
        <v>1</v>
      </c>
      <c r="AF93" s="0" t="n">
        <v>9194</v>
      </c>
    </row>
    <row r="94" customFormat="false" ht="15" hidden="false" customHeight="false" outlineLevel="0" collapsed="false">
      <c r="A94" s="0" t="s">
        <v>216</v>
      </c>
      <c r="B94" s="0" t="s">
        <v>217</v>
      </c>
      <c r="C94" s="0" t="n">
        <v>106091</v>
      </c>
      <c r="D94" s="0" t="n">
        <v>179256</v>
      </c>
      <c r="E94" s="0" t="n">
        <v>189060</v>
      </c>
      <c r="F94" s="0" t="n">
        <v>127150</v>
      </c>
      <c r="G94" s="0" t="n">
        <v>27159</v>
      </c>
      <c r="H94" s="0" t="n">
        <v>169944</v>
      </c>
      <c r="I94" s="0" t="n">
        <v>130502</v>
      </c>
      <c r="J94" s="0" t="n">
        <v>195336</v>
      </c>
      <c r="K94" s="0" t="n">
        <v>6394</v>
      </c>
      <c r="L94" s="0" t="n">
        <v>127148</v>
      </c>
      <c r="M94" s="0" t="n">
        <v>106091</v>
      </c>
      <c r="N94" s="0" t="n">
        <v>27159</v>
      </c>
      <c r="O94" s="0" t="n">
        <v>189060</v>
      </c>
      <c r="P94" s="0" t="n">
        <v>179256</v>
      </c>
      <c r="Q94" s="0" t="n">
        <v>130502</v>
      </c>
      <c r="R94" s="0" t="n">
        <v>169944</v>
      </c>
      <c r="S94" s="0" t="n">
        <v>195336</v>
      </c>
      <c r="T94" s="0" t="n">
        <v>121974</v>
      </c>
      <c r="U94" s="0" t="n">
        <v>175142</v>
      </c>
      <c r="V94" s="0" t="n">
        <v>159387</v>
      </c>
      <c r="W94" s="0" t="n">
        <f aca="false">IF(SUMPRODUCT(COUNTIF($C94:$L94,M94:M94))&gt;0,1,0)</f>
        <v>1</v>
      </c>
      <c r="X94" s="0" t="n">
        <f aca="false">IF(SUMPRODUCT(COUNTIF($C94:$L94,M94:O94))&gt;0,1,0)</f>
        <v>1</v>
      </c>
      <c r="Y94" s="0" t="n">
        <f aca="false">IF(SUMPRODUCT(COUNTIF($C94:$L94,M94:Q94))&gt;0,1,0)</f>
        <v>1</v>
      </c>
      <c r="Z94" s="0" t="n">
        <f aca="false">IF(SUMPRODUCT(COUNTIF($C94:$L94,M94:V94))&gt;0,1,0)</f>
        <v>1</v>
      </c>
      <c r="AA94" s="0" t="n">
        <f aca="false">IF(COUNTIF(M94:M94,$C94)&gt;0,1,0)</f>
        <v>1</v>
      </c>
      <c r="AB94" s="0" t="n">
        <f aca="false">IF(COUNTIF(M94:O94,$C94)&gt;0,1,0)</f>
        <v>1</v>
      </c>
      <c r="AC94" s="0" t="n">
        <f aca="false">IF(COUNTIF(M94:Q94,$C94)&gt;0,1,0)</f>
        <v>1</v>
      </c>
      <c r="AD94" s="0" t="n">
        <f aca="false">IF(COUNTIF(M94:V94,$C94)&gt;0,1,0)</f>
        <v>1</v>
      </c>
      <c r="AE94" s="0" t="n">
        <f aca="false">IFERROR(MATCH(1,INDEX(--(COUNTIF($C94:$L94,M94:V94)&gt;0),0),0),"")</f>
        <v>1</v>
      </c>
      <c r="AF94" s="0" t="n">
        <v>9096</v>
      </c>
    </row>
    <row r="95" customFormat="false" ht="15" hidden="false" customHeight="false" outlineLevel="0" collapsed="false">
      <c r="A95" s="0" t="s">
        <v>218</v>
      </c>
      <c r="B95" s="0" t="s">
        <v>219</v>
      </c>
      <c r="C95" s="0" t="n">
        <v>196732</v>
      </c>
      <c r="D95" s="0" t="n">
        <v>187499</v>
      </c>
      <c r="E95" s="0" t="n">
        <v>3924</v>
      </c>
      <c r="F95" s="0" t="n">
        <v>196731</v>
      </c>
      <c r="G95" s="0" t="n">
        <v>133663</v>
      </c>
      <c r="H95" s="0" t="n">
        <v>142930</v>
      </c>
      <c r="I95" s="0" t="n">
        <v>186190</v>
      </c>
      <c r="J95" s="0" t="n">
        <v>65100</v>
      </c>
      <c r="K95" s="0" t="n">
        <v>111393</v>
      </c>
      <c r="L95" s="0" t="n">
        <v>175947</v>
      </c>
      <c r="M95" s="0" t="n">
        <v>77922</v>
      </c>
      <c r="N95" s="0" t="n">
        <v>161121</v>
      </c>
      <c r="O95" s="0" t="n">
        <v>186182</v>
      </c>
      <c r="P95" s="0" t="n">
        <v>77956</v>
      </c>
      <c r="Q95" s="0" t="n">
        <v>187499</v>
      </c>
      <c r="R95" s="0" t="n">
        <v>3939</v>
      </c>
      <c r="S95" s="0" t="n">
        <v>166637</v>
      </c>
      <c r="T95" s="0" t="n">
        <v>172074</v>
      </c>
      <c r="U95" s="0" t="n">
        <v>193557</v>
      </c>
      <c r="V95" s="0" t="n">
        <v>48388</v>
      </c>
      <c r="W95" s="0" t="n">
        <f aca="false">IF(SUMPRODUCT(COUNTIF($C95:$L95,M95:M95))&gt;0,1,0)</f>
        <v>0</v>
      </c>
      <c r="X95" s="0" t="n">
        <f aca="false">IF(SUMPRODUCT(COUNTIF($C95:$L95,M95:O95))&gt;0,1,0)</f>
        <v>0</v>
      </c>
      <c r="Y95" s="0" t="n">
        <f aca="false">IF(SUMPRODUCT(COUNTIF($C95:$L95,M95:Q95))&gt;0,1,0)</f>
        <v>1</v>
      </c>
      <c r="Z95" s="0" t="n">
        <f aca="false">IF(SUMPRODUCT(COUNTIF($C95:$L95,M95:V95))&gt;0,1,0)</f>
        <v>1</v>
      </c>
      <c r="AA95" s="0" t="n">
        <f aca="false">IF(COUNTIF(M95:M95,$C95)&gt;0,1,0)</f>
        <v>0</v>
      </c>
      <c r="AB95" s="0" t="n">
        <f aca="false">IF(COUNTIF(M95:O95,$C95)&gt;0,1,0)</f>
        <v>0</v>
      </c>
      <c r="AC95" s="0" t="n">
        <f aca="false">IF(COUNTIF(M95:Q95,$C95)&gt;0,1,0)</f>
        <v>0</v>
      </c>
      <c r="AD95" s="0" t="n">
        <f aca="false">IF(COUNTIF(M95:V95,$C95)&gt;0,1,0)</f>
        <v>0</v>
      </c>
      <c r="AE95" s="0" t="n">
        <f aca="false">IFERROR(MATCH(1,INDEX(--(COUNTIF($C95:$L95,M95:V95)&gt;0),0),0),"")</f>
        <v>5</v>
      </c>
      <c r="AF95" s="0" t="n">
        <v>8844</v>
      </c>
    </row>
    <row r="96" customFormat="false" ht="15" hidden="false" customHeight="false" outlineLevel="0" collapsed="false">
      <c r="A96" s="0" t="s">
        <v>220</v>
      </c>
      <c r="B96" s="0" t="s">
        <v>221</v>
      </c>
      <c r="C96" s="0" t="n">
        <v>119408</v>
      </c>
      <c r="D96" s="0" t="n">
        <v>150522</v>
      </c>
      <c r="E96" s="0" t="n">
        <v>151199</v>
      </c>
      <c r="F96" s="0" t="n">
        <v>150524</v>
      </c>
      <c r="G96" s="0" t="n">
        <v>70911</v>
      </c>
      <c r="H96" s="0" t="n">
        <v>107397</v>
      </c>
      <c r="I96" s="0" t="n">
        <v>19175</v>
      </c>
      <c r="J96" s="0" t="n">
        <v>118646</v>
      </c>
      <c r="K96" s="0" t="n">
        <v>75676</v>
      </c>
      <c r="L96" s="0" t="n">
        <v>47352</v>
      </c>
      <c r="M96" s="0" t="n">
        <v>175926</v>
      </c>
      <c r="N96" s="0" t="n">
        <v>119408</v>
      </c>
      <c r="O96" s="0" t="n">
        <v>12436</v>
      </c>
      <c r="P96" s="0" t="n">
        <v>25401</v>
      </c>
      <c r="Q96" s="0" t="n">
        <v>142002</v>
      </c>
      <c r="R96" s="0" t="n">
        <v>18011</v>
      </c>
      <c r="S96" s="0" t="n">
        <v>4205</v>
      </c>
      <c r="T96" s="0" t="n">
        <v>131781</v>
      </c>
      <c r="U96" s="0" t="n">
        <v>24077</v>
      </c>
      <c r="V96" s="0" t="n">
        <v>19175</v>
      </c>
      <c r="W96" s="0" t="n">
        <f aca="false">IF(SUMPRODUCT(COUNTIF($C96:$L96,M96:M96))&gt;0,1,0)</f>
        <v>0</v>
      </c>
      <c r="X96" s="0" t="n">
        <f aca="false">IF(SUMPRODUCT(COUNTIF($C96:$L96,M96:O96))&gt;0,1,0)</f>
        <v>1</v>
      </c>
      <c r="Y96" s="0" t="n">
        <f aca="false">IF(SUMPRODUCT(COUNTIF($C96:$L96,M96:Q96))&gt;0,1,0)</f>
        <v>1</v>
      </c>
      <c r="Z96" s="0" t="n">
        <f aca="false">IF(SUMPRODUCT(COUNTIF($C96:$L96,M96:V96))&gt;0,1,0)</f>
        <v>1</v>
      </c>
      <c r="AA96" s="0" t="n">
        <f aca="false">IF(COUNTIF(M96:M96,$C96)&gt;0,1,0)</f>
        <v>0</v>
      </c>
      <c r="AB96" s="0" t="n">
        <f aca="false">IF(COUNTIF(M96:O96,$C96)&gt;0,1,0)</f>
        <v>1</v>
      </c>
      <c r="AC96" s="0" t="n">
        <f aca="false">IF(COUNTIF(M96:Q96,$C96)&gt;0,1,0)</f>
        <v>1</v>
      </c>
      <c r="AD96" s="0" t="n">
        <f aca="false">IF(COUNTIF(M96:V96,$C96)&gt;0,1,0)</f>
        <v>1</v>
      </c>
      <c r="AE96" s="0" t="n">
        <f aca="false">IFERROR(MATCH(1,INDEX(--(COUNTIF($C96:$L96,M96:V96)&gt;0),0),0),"")</f>
        <v>2</v>
      </c>
      <c r="AF96" s="0" t="n">
        <v>9429</v>
      </c>
    </row>
    <row r="97" customFormat="false" ht="15" hidden="false" customHeight="false" outlineLevel="0" collapsed="false">
      <c r="A97" s="0" t="s">
        <v>222</v>
      </c>
      <c r="B97" s="0" t="s">
        <v>223</v>
      </c>
      <c r="C97" s="0" t="n">
        <v>187181</v>
      </c>
      <c r="D97" s="0" t="n">
        <v>187179</v>
      </c>
      <c r="E97" s="0" t="n">
        <v>187175</v>
      </c>
      <c r="F97" s="0" t="n">
        <v>187177</v>
      </c>
      <c r="G97" s="0" t="n">
        <v>103996</v>
      </c>
      <c r="H97" s="0" t="n">
        <v>187182</v>
      </c>
      <c r="I97" s="0" t="n">
        <v>172454</v>
      </c>
      <c r="J97" s="0" t="n">
        <v>140848</v>
      </c>
      <c r="K97" s="0" t="n">
        <v>56738</v>
      </c>
      <c r="L97" s="0" t="n">
        <v>200242</v>
      </c>
      <c r="M97" s="0" t="n">
        <v>103996</v>
      </c>
      <c r="N97" s="0" t="n">
        <v>187179</v>
      </c>
      <c r="O97" s="0" t="n">
        <v>128078</v>
      </c>
      <c r="P97" s="0" t="n">
        <v>200241</v>
      </c>
      <c r="Q97" s="0" t="n">
        <v>187181</v>
      </c>
      <c r="R97" s="0" t="n">
        <v>38853</v>
      </c>
      <c r="S97" s="0" t="n">
        <v>187175</v>
      </c>
      <c r="T97" s="0" t="n">
        <v>200242</v>
      </c>
      <c r="U97" s="0" t="n">
        <v>195484</v>
      </c>
      <c r="V97" s="0" t="n">
        <v>187209</v>
      </c>
      <c r="W97" s="0" t="n">
        <f aca="false">IF(SUMPRODUCT(COUNTIF($C97:$L97,M97:M97))&gt;0,1,0)</f>
        <v>1</v>
      </c>
      <c r="X97" s="0" t="n">
        <f aca="false">IF(SUMPRODUCT(COUNTIF($C97:$L97,M97:O97))&gt;0,1,0)</f>
        <v>1</v>
      </c>
      <c r="Y97" s="0" t="n">
        <f aca="false">IF(SUMPRODUCT(COUNTIF($C97:$L97,M97:Q97))&gt;0,1,0)</f>
        <v>1</v>
      </c>
      <c r="Z97" s="0" t="n">
        <f aca="false">IF(SUMPRODUCT(COUNTIF($C97:$L97,M97:V97))&gt;0,1,0)</f>
        <v>1</v>
      </c>
      <c r="AA97" s="0" t="n">
        <f aca="false">IF(COUNTIF(M97:M97,$C97)&gt;0,1,0)</f>
        <v>0</v>
      </c>
      <c r="AB97" s="0" t="n">
        <f aca="false">IF(COUNTIF(M97:O97,$C97)&gt;0,1,0)</f>
        <v>0</v>
      </c>
      <c r="AC97" s="0" t="n">
        <f aca="false">IF(COUNTIF(M97:Q97,$C97)&gt;0,1,0)</f>
        <v>1</v>
      </c>
      <c r="AD97" s="0" t="n">
        <f aca="false">IF(COUNTIF(M97:V97,$C97)&gt;0,1,0)</f>
        <v>1</v>
      </c>
      <c r="AE97" s="0" t="n">
        <f aca="false">IFERROR(MATCH(1,INDEX(--(COUNTIF($C97:$L97,M97:V97)&gt;0),0),0),"")</f>
        <v>1</v>
      </c>
      <c r="AF97" s="0" t="n">
        <v>9065</v>
      </c>
    </row>
    <row r="98" customFormat="false" ht="15" hidden="false" customHeight="false" outlineLevel="0" collapsed="false">
      <c r="A98" s="0" t="s">
        <v>224</v>
      </c>
      <c r="B98" s="0" t="s">
        <v>225</v>
      </c>
      <c r="C98" s="0" t="n">
        <v>120060</v>
      </c>
      <c r="D98" s="0" t="n">
        <v>116007</v>
      </c>
      <c r="E98" s="0" t="n">
        <v>115883</v>
      </c>
      <c r="F98" s="0" t="n">
        <v>30225</v>
      </c>
      <c r="G98" s="0" t="n">
        <v>116004</v>
      </c>
      <c r="H98" s="0" t="n">
        <v>116008</v>
      </c>
      <c r="I98" s="0" t="n">
        <v>127803</v>
      </c>
      <c r="J98" s="0" t="n">
        <v>133073</v>
      </c>
      <c r="K98" s="0" t="n">
        <v>75743</v>
      </c>
      <c r="L98" s="0" t="n">
        <v>131456</v>
      </c>
      <c r="M98" s="0" t="n">
        <v>20523</v>
      </c>
      <c r="N98" s="0" t="n">
        <v>119406</v>
      </c>
      <c r="O98" s="0" t="n">
        <v>148065</v>
      </c>
      <c r="P98" s="0" t="n">
        <v>92336</v>
      </c>
      <c r="Q98" s="0" t="n">
        <v>145433</v>
      </c>
      <c r="R98" s="0" t="n">
        <v>139547</v>
      </c>
      <c r="S98" s="0" t="n">
        <v>131455</v>
      </c>
      <c r="T98" s="0" t="n">
        <v>115988</v>
      </c>
      <c r="U98" s="0" t="n">
        <v>131456</v>
      </c>
      <c r="V98" s="0" t="n">
        <v>127813</v>
      </c>
      <c r="W98" s="0" t="n">
        <f aca="false">IF(SUMPRODUCT(COUNTIF($C98:$L98,M98:M98))&gt;0,1,0)</f>
        <v>0</v>
      </c>
      <c r="X98" s="0" t="n">
        <f aca="false">IF(SUMPRODUCT(COUNTIF($C98:$L98,M98:O98))&gt;0,1,0)</f>
        <v>0</v>
      </c>
      <c r="Y98" s="0" t="n">
        <f aca="false">IF(SUMPRODUCT(COUNTIF($C98:$L98,M98:Q98))&gt;0,1,0)</f>
        <v>0</v>
      </c>
      <c r="Z98" s="0" t="n">
        <f aca="false">IF(SUMPRODUCT(COUNTIF($C98:$L98,M98:V98))&gt;0,1,0)</f>
        <v>1</v>
      </c>
      <c r="AA98" s="0" t="n">
        <f aca="false">IF(COUNTIF(M98:M98,$C98)&gt;0,1,0)</f>
        <v>0</v>
      </c>
      <c r="AB98" s="0" t="n">
        <f aca="false">IF(COUNTIF(M98:O98,$C98)&gt;0,1,0)</f>
        <v>0</v>
      </c>
      <c r="AC98" s="0" t="n">
        <f aca="false">IF(COUNTIF(M98:Q98,$C98)&gt;0,1,0)</f>
        <v>0</v>
      </c>
      <c r="AD98" s="0" t="n">
        <f aca="false">IF(COUNTIF(M98:V98,$C98)&gt;0,1,0)</f>
        <v>0</v>
      </c>
      <c r="AE98" s="0" t="n">
        <f aca="false">IFERROR(MATCH(1,INDEX(--(COUNTIF($C98:$L98,M98:V98)&gt;0),0),0),"")</f>
        <v>9</v>
      </c>
      <c r="AF98" s="0" t="n">
        <v>8633</v>
      </c>
    </row>
    <row r="99" customFormat="false" ht="15" hidden="false" customHeight="false" outlineLevel="0" collapsed="false">
      <c r="A99" s="0" t="s">
        <v>226</v>
      </c>
      <c r="B99" s="0" t="s">
        <v>227</v>
      </c>
      <c r="C99" s="0" t="n">
        <v>45895</v>
      </c>
      <c r="D99" s="0" t="n">
        <v>140000</v>
      </c>
      <c r="E99" s="0" t="n">
        <v>33174</v>
      </c>
      <c r="F99" s="0" t="n">
        <v>29018</v>
      </c>
      <c r="G99" s="0" t="n">
        <v>55263</v>
      </c>
      <c r="H99" s="0" t="n">
        <v>68854</v>
      </c>
      <c r="I99" s="0" t="n">
        <v>148682</v>
      </c>
      <c r="J99" s="0" t="n">
        <v>131336</v>
      </c>
      <c r="K99" s="0" t="n">
        <v>125511</v>
      </c>
      <c r="L99" s="0" t="n">
        <v>198414</v>
      </c>
      <c r="M99" s="0" t="n">
        <v>45895</v>
      </c>
      <c r="N99" s="0" t="n">
        <v>131336</v>
      </c>
      <c r="O99" s="0" t="n">
        <v>55263</v>
      </c>
      <c r="P99" s="0" t="n">
        <v>155073</v>
      </c>
      <c r="Q99" s="0" t="n">
        <v>178654</v>
      </c>
      <c r="R99" s="0" t="n">
        <v>49463</v>
      </c>
      <c r="S99" s="0" t="n">
        <v>33174</v>
      </c>
      <c r="T99" s="0" t="n">
        <v>158633</v>
      </c>
      <c r="U99" s="0" t="n">
        <v>68854</v>
      </c>
      <c r="V99" s="0" t="n">
        <v>115881</v>
      </c>
      <c r="W99" s="0" t="n">
        <f aca="false">IF(SUMPRODUCT(COUNTIF($C99:$L99,M99:M99))&gt;0,1,0)</f>
        <v>1</v>
      </c>
      <c r="X99" s="0" t="n">
        <f aca="false">IF(SUMPRODUCT(COUNTIF($C99:$L99,M99:O99))&gt;0,1,0)</f>
        <v>1</v>
      </c>
      <c r="Y99" s="0" t="n">
        <f aca="false">IF(SUMPRODUCT(COUNTIF($C99:$L99,M99:Q99))&gt;0,1,0)</f>
        <v>1</v>
      </c>
      <c r="Z99" s="0" t="n">
        <f aca="false">IF(SUMPRODUCT(COUNTIF($C99:$L99,M99:V99))&gt;0,1,0)</f>
        <v>1</v>
      </c>
      <c r="AA99" s="0" t="n">
        <f aca="false">IF(COUNTIF(M99:M99,$C99)&gt;0,1,0)</f>
        <v>1</v>
      </c>
      <c r="AB99" s="0" t="n">
        <f aca="false">IF(COUNTIF(M99:O99,$C99)&gt;0,1,0)</f>
        <v>1</v>
      </c>
      <c r="AC99" s="0" t="n">
        <f aca="false">IF(COUNTIF(M99:Q99,$C99)&gt;0,1,0)</f>
        <v>1</v>
      </c>
      <c r="AD99" s="0" t="n">
        <f aca="false">IF(COUNTIF(M99:V99,$C99)&gt;0,1,0)</f>
        <v>1</v>
      </c>
      <c r="AE99" s="0" t="n">
        <f aca="false">IFERROR(MATCH(1,INDEX(--(COUNTIF($C99:$L99,M99:V99)&gt;0),0),0),"")</f>
        <v>1</v>
      </c>
      <c r="AF99" s="0" t="n">
        <v>8967</v>
      </c>
    </row>
    <row r="100" customFormat="false" ht="15" hidden="false" customHeight="false" outlineLevel="0" collapsed="false">
      <c r="A100" s="0" t="s">
        <v>228</v>
      </c>
      <c r="B100" s="0" t="s">
        <v>229</v>
      </c>
      <c r="C100" s="0" t="n">
        <v>128034</v>
      </c>
      <c r="D100" s="0" t="n">
        <v>3951</v>
      </c>
      <c r="E100" s="0" t="n">
        <v>128037</v>
      </c>
      <c r="F100" s="0" t="n">
        <v>188577</v>
      </c>
      <c r="G100" s="0" t="n">
        <v>65105</v>
      </c>
      <c r="H100" s="0" t="n">
        <v>133685</v>
      </c>
      <c r="I100" s="0" t="n">
        <v>188576</v>
      </c>
      <c r="J100" s="0" t="n">
        <v>141560</v>
      </c>
      <c r="K100" s="0" t="n">
        <v>175884</v>
      </c>
      <c r="L100" s="0" t="n">
        <v>175841</v>
      </c>
      <c r="M100" s="0" t="n">
        <v>65105</v>
      </c>
      <c r="N100" s="0" t="n">
        <v>3673</v>
      </c>
      <c r="O100" s="0" t="n">
        <v>65102</v>
      </c>
      <c r="P100" s="0" t="n">
        <v>65081</v>
      </c>
      <c r="Q100" s="0" t="n">
        <v>3951</v>
      </c>
      <c r="R100" s="0" t="n">
        <v>193557</v>
      </c>
      <c r="S100" s="0" t="n">
        <v>188576</v>
      </c>
      <c r="T100" s="0" t="n">
        <v>128037</v>
      </c>
      <c r="U100" s="0" t="n">
        <v>161273</v>
      </c>
      <c r="V100" s="0" t="n">
        <v>131408</v>
      </c>
      <c r="W100" s="0" t="n">
        <f aca="false">IF(SUMPRODUCT(COUNTIF($C100:$L100,M100:M100))&gt;0,1,0)</f>
        <v>1</v>
      </c>
      <c r="X100" s="0" t="n">
        <f aca="false">IF(SUMPRODUCT(COUNTIF($C100:$L100,M100:O100))&gt;0,1,0)</f>
        <v>1</v>
      </c>
      <c r="Y100" s="0" t="n">
        <f aca="false">IF(SUMPRODUCT(COUNTIF($C100:$L100,M100:Q100))&gt;0,1,0)</f>
        <v>1</v>
      </c>
      <c r="Z100" s="0" t="n">
        <f aca="false">IF(SUMPRODUCT(COUNTIF($C100:$L100,M100:V100))&gt;0,1,0)</f>
        <v>1</v>
      </c>
      <c r="AA100" s="0" t="n">
        <f aca="false">IF(COUNTIF(M100:M100,$C100)&gt;0,1,0)</f>
        <v>0</v>
      </c>
      <c r="AB100" s="0" t="n">
        <f aca="false">IF(COUNTIF(M100:O100,$C100)&gt;0,1,0)</f>
        <v>0</v>
      </c>
      <c r="AC100" s="0" t="n">
        <f aca="false">IF(COUNTIF(M100:Q100,$C100)&gt;0,1,0)</f>
        <v>0</v>
      </c>
      <c r="AD100" s="0" t="n">
        <f aca="false">IF(COUNTIF(M100:V100,$C100)&gt;0,1,0)</f>
        <v>0</v>
      </c>
      <c r="AE100" s="0" t="n">
        <f aca="false">IFERROR(MATCH(1,INDEX(--(COUNTIF($C100:$L100,M100:V100)&gt;0),0),0),"")</f>
        <v>1</v>
      </c>
      <c r="AF100" s="0" t="n">
        <v>8687</v>
      </c>
    </row>
    <row r="101" customFormat="false" ht="15" hidden="false" customHeight="false" outlineLevel="0" collapsed="false">
      <c r="A101" s="0" t="s">
        <v>230</v>
      </c>
      <c r="B101" s="0" t="s">
        <v>231</v>
      </c>
      <c r="C101" s="0" t="n">
        <v>114985</v>
      </c>
      <c r="D101" s="0" t="n">
        <v>17470</v>
      </c>
      <c r="E101" s="0" t="n">
        <v>177987</v>
      </c>
      <c r="F101" s="0" t="n">
        <v>41287</v>
      </c>
      <c r="G101" s="0" t="n">
        <v>173619</v>
      </c>
      <c r="H101" s="0" t="n">
        <v>178359</v>
      </c>
      <c r="I101" s="0" t="n">
        <v>169149</v>
      </c>
      <c r="J101" s="0" t="n">
        <v>121524</v>
      </c>
      <c r="K101" s="0" t="n">
        <v>18057</v>
      </c>
      <c r="L101" s="0" t="n">
        <v>173269</v>
      </c>
      <c r="M101" s="0" t="n">
        <v>154837</v>
      </c>
      <c r="N101" s="0" t="n">
        <v>39245</v>
      </c>
      <c r="O101" s="0" t="n">
        <v>158353</v>
      </c>
      <c r="P101" s="0" t="n">
        <v>99335</v>
      </c>
      <c r="Q101" s="0" t="n">
        <v>81354</v>
      </c>
      <c r="R101" s="0" t="n">
        <v>18056</v>
      </c>
      <c r="S101" s="0" t="n">
        <v>130927</v>
      </c>
      <c r="T101" s="0" t="n">
        <v>51225</v>
      </c>
      <c r="U101" s="0" t="n">
        <v>114999</v>
      </c>
      <c r="V101" s="0" t="n">
        <v>158072</v>
      </c>
      <c r="W101" s="0" t="n">
        <f aca="false">IF(SUMPRODUCT(COUNTIF($C101:$L101,M101:M101))&gt;0,1,0)</f>
        <v>0</v>
      </c>
      <c r="X101" s="0" t="n">
        <f aca="false">IF(SUMPRODUCT(COUNTIF($C101:$L101,M101:O101))&gt;0,1,0)</f>
        <v>0</v>
      </c>
      <c r="Y101" s="0" t="n">
        <f aca="false">IF(SUMPRODUCT(COUNTIF($C101:$L101,M101:Q101))&gt;0,1,0)</f>
        <v>0</v>
      </c>
      <c r="Z101" s="0" t="n">
        <f aca="false">IF(SUMPRODUCT(COUNTIF($C101:$L101,M101:V101))&gt;0,1,0)</f>
        <v>0</v>
      </c>
      <c r="AA101" s="0" t="n">
        <f aca="false">IF(COUNTIF(M101:M101,$C101)&gt;0,1,0)</f>
        <v>0</v>
      </c>
      <c r="AB101" s="0" t="n">
        <f aca="false">IF(COUNTIF(M101:O101,$C101)&gt;0,1,0)</f>
        <v>0</v>
      </c>
      <c r="AC101" s="0" t="n">
        <f aca="false">IF(COUNTIF(M101:Q101,$C101)&gt;0,1,0)</f>
        <v>0</v>
      </c>
      <c r="AD101" s="0" t="n">
        <f aca="false">IF(COUNTIF(M101:V101,$C101)&gt;0,1,0)</f>
        <v>0</v>
      </c>
      <c r="AE101" s="0" t="str">
        <f aca="false">IFERROR(MATCH(1,INDEX(--(COUNTIF($C101:$L101,M101:V101)&gt;0),0),0),"")</f>
        <v/>
      </c>
      <c r="AF101" s="0" t="n">
        <v>7972</v>
      </c>
    </row>
    <row r="102" customFormat="false" ht="15" hidden="false" customHeight="false" outlineLevel="0" collapsed="false">
      <c r="A102" s="0" t="s">
        <v>232</v>
      </c>
      <c r="B102" s="0" t="s">
        <v>233</v>
      </c>
      <c r="C102" s="0" t="n">
        <v>104545</v>
      </c>
      <c r="D102" s="0" t="n">
        <v>169346</v>
      </c>
      <c r="E102" s="0" t="n">
        <v>104546</v>
      </c>
      <c r="F102" s="0" t="n">
        <v>120180</v>
      </c>
      <c r="G102" s="0" t="n">
        <v>111363</v>
      </c>
      <c r="H102" s="0" t="n">
        <v>151732</v>
      </c>
      <c r="I102" s="0" t="n">
        <v>122095</v>
      </c>
      <c r="J102" s="0" t="n">
        <v>170049</v>
      </c>
      <c r="K102" s="0" t="n">
        <v>184280</v>
      </c>
      <c r="L102" s="0" t="n">
        <v>185955</v>
      </c>
      <c r="M102" s="0" t="n">
        <v>170048</v>
      </c>
      <c r="N102" s="0" t="n">
        <v>93111</v>
      </c>
      <c r="O102" s="0" t="n">
        <v>159999</v>
      </c>
      <c r="P102" s="0" t="n">
        <v>104032</v>
      </c>
      <c r="Q102" s="0" t="n">
        <v>6326</v>
      </c>
      <c r="R102" s="0" t="n">
        <v>93047</v>
      </c>
      <c r="S102" s="0" t="n">
        <v>6292</v>
      </c>
      <c r="T102" s="0" t="n">
        <v>21594</v>
      </c>
      <c r="U102" s="0" t="n">
        <v>158941</v>
      </c>
      <c r="V102" s="0" t="n">
        <v>34193</v>
      </c>
      <c r="W102" s="0" t="n">
        <f aca="false">IF(SUMPRODUCT(COUNTIF($C102:$L102,M102:M102))&gt;0,1,0)</f>
        <v>0</v>
      </c>
      <c r="X102" s="0" t="n">
        <f aca="false">IF(SUMPRODUCT(COUNTIF($C102:$L102,M102:O102))&gt;0,1,0)</f>
        <v>0</v>
      </c>
      <c r="Y102" s="0" t="n">
        <f aca="false">IF(SUMPRODUCT(COUNTIF($C102:$L102,M102:Q102))&gt;0,1,0)</f>
        <v>0</v>
      </c>
      <c r="Z102" s="0" t="n">
        <f aca="false">IF(SUMPRODUCT(COUNTIF($C102:$L102,M102:V102))&gt;0,1,0)</f>
        <v>0</v>
      </c>
      <c r="AA102" s="0" t="n">
        <f aca="false">IF(COUNTIF(M102:M102,$C102)&gt;0,1,0)</f>
        <v>0</v>
      </c>
      <c r="AB102" s="0" t="n">
        <f aca="false">IF(COUNTIF(M102:O102,$C102)&gt;0,1,0)</f>
        <v>0</v>
      </c>
      <c r="AC102" s="0" t="n">
        <f aca="false">IF(COUNTIF(M102:Q102,$C102)&gt;0,1,0)</f>
        <v>0</v>
      </c>
      <c r="AD102" s="0" t="n">
        <f aca="false">IF(COUNTIF(M102:V102,$C102)&gt;0,1,0)</f>
        <v>0</v>
      </c>
      <c r="AE102" s="0" t="str">
        <f aca="false">IFERROR(MATCH(1,INDEX(--(COUNTIF($C102:$L102,M102:V102)&gt;0),0),0),"")</f>
        <v/>
      </c>
      <c r="AF102" s="0" t="n">
        <v>7944</v>
      </c>
    </row>
    <row r="103" customFormat="false" ht="15" hidden="false" customHeight="false" outlineLevel="0" collapsed="false">
      <c r="A103" s="0" t="s">
        <v>234</v>
      </c>
      <c r="B103" s="0" t="s">
        <v>235</v>
      </c>
      <c r="C103" s="0" t="n">
        <v>144395</v>
      </c>
      <c r="D103" s="0" t="n">
        <v>178852</v>
      </c>
      <c r="E103" s="0" t="n">
        <v>195025</v>
      </c>
      <c r="F103" s="0" t="n">
        <v>139558</v>
      </c>
      <c r="G103" s="0" t="n">
        <v>171442</v>
      </c>
      <c r="H103" s="0" t="n">
        <v>173252</v>
      </c>
      <c r="I103" s="0" t="n">
        <v>139540</v>
      </c>
      <c r="J103" s="0" t="n">
        <v>171132</v>
      </c>
      <c r="K103" s="0" t="n">
        <v>59163</v>
      </c>
      <c r="L103" s="0" t="n">
        <v>168682</v>
      </c>
      <c r="M103" s="0" t="n">
        <v>90988</v>
      </c>
      <c r="N103" s="0" t="n">
        <v>28541</v>
      </c>
      <c r="O103" s="0" t="n">
        <v>144278</v>
      </c>
      <c r="P103" s="0" t="n">
        <v>139558</v>
      </c>
      <c r="Q103" s="0" t="n">
        <v>200018</v>
      </c>
      <c r="R103" s="0" t="n">
        <v>168682</v>
      </c>
      <c r="S103" s="0" t="n">
        <v>178852</v>
      </c>
      <c r="T103" s="0" t="n">
        <v>171442</v>
      </c>
      <c r="U103" s="0" t="n">
        <v>141623</v>
      </c>
      <c r="V103" s="0" t="n">
        <v>158435</v>
      </c>
      <c r="W103" s="0" t="n">
        <f aca="false">IF(SUMPRODUCT(COUNTIF($C103:$L103,M103:M103))&gt;0,1,0)</f>
        <v>0</v>
      </c>
      <c r="X103" s="0" t="n">
        <f aca="false">IF(SUMPRODUCT(COUNTIF($C103:$L103,M103:O103))&gt;0,1,0)</f>
        <v>0</v>
      </c>
      <c r="Y103" s="0" t="n">
        <f aca="false">IF(SUMPRODUCT(COUNTIF($C103:$L103,M103:Q103))&gt;0,1,0)</f>
        <v>1</v>
      </c>
      <c r="Z103" s="0" t="n">
        <f aca="false">IF(SUMPRODUCT(COUNTIF($C103:$L103,M103:V103))&gt;0,1,0)</f>
        <v>1</v>
      </c>
      <c r="AA103" s="0" t="n">
        <f aca="false">IF(COUNTIF(M103:M103,$C103)&gt;0,1,0)</f>
        <v>0</v>
      </c>
      <c r="AB103" s="0" t="n">
        <f aca="false">IF(COUNTIF(M103:O103,$C103)&gt;0,1,0)</f>
        <v>0</v>
      </c>
      <c r="AC103" s="0" t="n">
        <f aca="false">IF(COUNTIF(M103:Q103,$C103)&gt;0,1,0)</f>
        <v>0</v>
      </c>
      <c r="AD103" s="0" t="n">
        <f aca="false">IF(COUNTIF(M103:V103,$C103)&gt;0,1,0)</f>
        <v>0</v>
      </c>
      <c r="AE103" s="0" t="n">
        <f aca="false">IFERROR(MATCH(1,INDEX(--(COUNTIF($C103:$L103,M103:V103)&gt;0),0),0),"")</f>
        <v>4</v>
      </c>
      <c r="AF103" s="0" t="n">
        <v>8187</v>
      </c>
    </row>
    <row r="104" customFormat="false" ht="15" hidden="false" customHeight="false" outlineLevel="0" collapsed="false">
      <c r="A104" s="0" t="s">
        <v>236</v>
      </c>
      <c r="B104" s="0" t="s">
        <v>237</v>
      </c>
      <c r="C104" s="0" t="n">
        <v>19880</v>
      </c>
      <c r="D104" s="0" t="n">
        <v>175244</v>
      </c>
      <c r="E104" s="0" t="n">
        <v>170049</v>
      </c>
      <c r="F104" s="0" t="n">
        <v>86867</v>
      </c>
      <c r="G104" s="0" t="n">
        <v>83043</v>
      </c>
      <c r="H104" s="0" t="n">
        <v>104288</v>
      </c>
      <c r="I104" s="0" t="n">
        <v>141599</v>
      </c>
      <c r="J104" s="0" t="n">
        <v>167071</v>
      </c>
      <c r="K104" s="0" t="n">
        <v>139459</v>
      </c>
      <c r="L104" s="0" t="n">
        <v>151284</v>
      </c>
      <c r="M104" s="0" t="n">
        <v>158459</v>
      </c>
      <c r="N104" s="0" t="n">
        <v>139657</v>
      </c>
      <c r="O104" s="0" t="n">
        <v>155546</v>
      </c>
      <c r="P104" s="0" t="n">
        <v>19880</v>
      </c>
      <c r="Q104" s="0" t="n">
        <v>170959</v>
      </c>
      <c r="R104" s="0" t="n">
        <v>150582</v>
      </c>
      <c r="S104" s="0" t="n">
        <v>164952</v>
      </c>
      <c r="T104" s="0" t="n">
        <v>172306</v>
      </c>
      <c r="U104" s="0" t="n">
        <v>173242</v>
      </c>
      <c r="V104" s="0" t="n">
        <v>166895</v>
      </c>
      <c r="W104" s="0" t="n">
        <f aca="false">IF(SUMPRODUCT(COUNTIF($C104:$L104,M104:M104))&gt;0,1,0)</f>
        <v>0</v>
      </c>
      <c r="X104" s="0" t="n">
        <f aca="false">IF(SUMPRODUCT(COUNTIF($C104:$L104,M104:O104))&gt;0,1,0)</f>
        <v>0</v>
      </c>
      <c r="Y104" s="0" t="n">
        <f aca="false">IF(SUMPRODUCT(COUNTIF($C104:$L104,M104:Q104))&gt;0,1,0)</f>
        <v>1</v>
      </c>
      <c r="Z104" s="0" t="n">
        <f aca="false">IF(SUMPRODUCT(COUNTIF($C104:$L104,M104:V104))&gt;0,1,0)</f>
        <v>1</v>
      </c>
      <c r="AA104" s="0" t="n">
        <f aca="false">IF(COUNTIF(M104:M104,$C104)&gt;0,1,0)</f>
        <v>0</v>
      </c>
      <c r="AB104" s="0" t="n">
        <f aca="false">IF(COUNTIF(M104:O104,$C104)&gt;0,1,0)</f>
        <v>0</v>
      </c>
      <c r="AC104" s="0" t="n">
        <f aca="false">IF(COUNTIF(M104:Q104,$C104)&gt;0,1,0)</f>
        <v>1</v>
      </c>
      <c r="AD104" s="0" t="n">
        <f aca="false">IF(COUNTIF(M104:V104,$C104)&gt;0,1,0)</f>
        <v>1</v>
      </c>
      <c r="AE104" s="0" t="n">
        <f aca="false">IFERROR(MATCH(1,INDEX(--(COUNTIF($C104:$L104,M104:V104)&gt;0),0),0),"")</f>
        <v>4</v>
      </c>
      <c r="AF104" s="0" t="n">
        <v>8148</v>
      </c>
    </row>
    <row r="105" customFormat="false" ht="15" hidden="false" customHeight="false" outlineLevel="0" collapsed="false">
      <c r="A105" s="0" t="s">
        <v>238</v>
      </c>
      <c r="B105" s="0" t="s">
        <v>239</v>
      </c>
      <c r="C105" s="0" t="n">
        <v>142769</v>
      </c>
      <c r="D105" s="0" t="n">
        <v>168606</v>
      </c>
      <c r="E105" s="0" t="n">
        <v>93110</v>
      </c>
      <c r="F105" s="0" t="n">
        <v>120611</v>
      </c>
      <c r="G105" s="0" t="n">
        <v>78977</v>
      </c>
      <c r="H105" s="0" t="n">
        <v>35347</v>
      </c>
      <c r="I105" s="0" t="n">
        <v>196230</v>
      </c>
      <c r="J105" s="0" t="n">
        <v>196245</v>
      </c>
      <c r="K105" s="0" t="n">
        <v>177680</v>
      </c>
      <c r="L105" s="0" t="n">
        <v>168595</v>
      </c>
      <c r="M105" s="0" t="n">
        <v>78977</v>
      </c>
      <c r="N105" s="0" t="n">
        <v>35347</v>
      </c>
      <c r="O105" s="0" t="n">
        <v>142769</v>
      </c>
      <c r="P105" s="0" t="n">
        <v>168510</v>
      </c>
      <c r="Q105" s="0" t="n">
        <v>120611</v>
      </c>
      <c r="R105" s="0" t="n">
        <v>9742</v>
      </c>
      <c r="S105" s="0" t="n">
        <v>158364</v>
      </c>
      <c r="T105" s="0" t="n">
        <v>90988</v>
      </c>
      <c r="U105" s="0" t="n">
        <v>169371</v>
      </c>
      <c r="V105" s="0" t="n">
        <v>168595</v>
      </c>
      <c r="W105" s="0" t="n">
        <f aca="false">IF(SUMPRODUCT(COUNTIF($C105:$L105,M105:M105))&gt;0,1,0)</f>
        <v>1</v>
      </c>
      <c r="X105" s="0" t="n">
        <f aca="false">IF(SUMPRODUCT(COUNTIF($C105:$L105,M105:O105))&gt;0,1,0)</f>
        <v>1</v>
      </c>
      <c r="Y105" s="0" t="n">
        <f aca="false">IF(SUMPRODUCT(COUNTIF($C105:$L105,M105:Q105))&gt;0,1,0)</f>
        <v>1</v>
      </c>
      <c r="Z105" s="0" t="n">
        <f aca="false">IF(SUMPRODUCT(COUNTIF($C105:$L105,M105:V105))&gt;0,1,0)</f>
        <v>1</v>
      </c>
      <c r="AA105" s="0" t="n">
        <f aca="false">IF(COUNTIF(M105:M105,$C105)&gt;0,1,0)</f>
        <v>0</v>
      </c>
      <c r="AB105" s="0" t="n">
        <f aca="false">IF(COUNTIF(M105:O105,$C105)&gt;0,1,0)</f>
        <v>1</v>
      </c>
      <c r="AC105" s="0" t="n">
        <f aca="false">IF(COUNTIF(M105:Q105,$C105)&gt;0,1,0)</f>
        <v>1</v>
      </c>
      <c r="AD105" s="0" t="n">
        <f aca="false">IF(COUNTIF(M105:V105,$C105)&gt;0,1,0)</f>
        <v>1</v>
      </c>
      <c r="AE105" s="0" t="n">
        <f aca="false">IFERROR(MATCH(1,INDEX(--(COUNTIF($C105:$L105,M105:V105)&gt;0),0),0),"")</f>
        <v>1</v>
      </c>
      <c r="AF105" s="0" t="n">
        <v>8298</v>
      </c>
    </row>
    <row r="106" customFormat="false" ht="15" hidden="false" customHeight="false" outlineLevel="0" collapsed="false">
      <c r="A106" s="0" t="s">
        <v>240</v>
      </c>
      <c r="B106" s="0" t="s">
        <v>241</v>
      </c>
      <c r="C106" s="0" t="n">
        <v>167810</v>
      </c>
      <c r="D106" s="0" t="n">
        <v>186123</v>
      </c>
      <c r="E106" s="0" t="n">
        <v>144972</v>
      </c>
      <c r="F106" s="0" t="n">
        <v>144973</v>
      </c>
      <c r="G106" s="0" t="n">
        <v>167811</v>
      </c>
      <c r="H106" s="0" t="n">
        <v>167806</v>
      </c>
      <c r="I106" s="0" t="n">
        <v>144970</v>
      </c>
      <c r="J106" s="0" t="n">
        <v>144969</v>
      </c>
      <c r="K106" s="0" t="n">
        <v>145483</v>
      </c>
      <c r="L106" s="0" t="n">
        <v>144979</v>
      </c>
      <c r="M106" s="0" t="n">
        <v>144969</v>
      </c>
      <c r="N106" s="0" t="n">
        <v>144972</v>
      </c>
      <c r="O106" s="0" t="n">
        <v>167810</v>
      </c>
      <c r="P106" s="0" t="n">
        <v>167811</v>
      </c>
      <c r="Q106" s="0" t="n">
        <v>144973</v>
      </c>
      <c r="R106" s="0" t="n">
        <v>186123</v>
      </c>
      <c r="S106" s="0" t="n">
        <v>144970</v>
      </c>
      <c r="T106" s="0" t="n">
        <v>167834</v>
      </c>
      <c r="U106" s="0" t="n">
        <v>167806</v>
      </c>
      <c r="V106" s="0" t="n">
        <v>95937</v>
      </c>
      <c r="W106" s="0" t="n">
        <f aca="false">IF(SUMPRODUCT(COUNTIF($C106:$L106,M106:M106))&gt;0,1,0)</f>
        <v>1</v>
      </c>
      <c r="X106" s="0" t="n">
        <f aca="false">IF(SUMPRODUCT(COUNTIF($C106:$L106,M106:O106))&gt;0,1,0)</f>
        <v>1</v>
      </c>
      <c r="Y106" s="0" t="n">
        <f aca="false">IF(SUMPRODUCT(COUNTIF($C106:$L106,M106:Q106))&gt;0,1,0)</f>
        <v>1</v>
      </c>
      <c r="Z106" s="0" t="n">
        <f aca="false">IF(SUMPRODUCT(COUNTIF($C106:$L106,M106:V106))&gt;0,1,0)</f>
        <v>1</v>
      </c>
      <c r="AA106" s="0" t="n">
        <f aca="false">IF(COUNTIF(M106:M106,$C106)&gt;0,1,0)</f>
        <v>0</v>
      </c>
      <c r="AB106" s="0" t="n">
        <f aca="false">IF(COUNTIF(M106:O106,$C106)&gt;0,1,0)</f>
        <v>1</v>
      </c>
      <c r="AC106" s="0" t="n">
        <f aca="false">IF(COUNTIF(M106:Q106,$C106)&gt;0,1,0)</f>
        <v>1</v>
      </c>
      <c r="AD106" s="0" t="n">
        <f aca="false">IF(COUNTIF(M106:V106,$C106)&gt;0,1,0)</f>
        <v>1</v>
      </c>
      <c r="AE106" s="0" t="n">
        <f aca="false">IFERROR(MATCH(1,INDEX(--(COUNTIF($C106:$L106,M106:V106)&gt;0),0),0),"")</f>
        <v>1</v>
      </c>
      <c r="AF106" s="0" t="n">
        <v>8184</v>
      </c>
    </row>
    <row r="107" customFormat="false" ht="15" hidden="false" customHeight="false" outlineLevel="0" collapsed="false">
      <c r="A107" s="0" t="s">
        <v>242</v>
      </c>
      <c r="B107" s="0" t="s">
        <v>243</v>
      </c>
      <c r="C107" s="0" t="n">
        <v>157610</v>
      </c>
      <c r="D107" s="0" t="n">
        <v>196082</v>
      </c>
      <c r="E107" s="0" t="n">
        <v>134878</v>
      </c>
      <c r="F107" s="0" t="n">
        <v>148682</v>
      </c>
      <c r="G107" s="0" t="n">
        <v>199353</v>
      </c>
      <c r="H107" s="0" t="n">
        <v>107945</v>
      </c>
      <c r="I107" s="0" t="n">
        <v>134881</v>
      </c>
      <c r="J107" s="0" t="n">
        <v>21749</v>
      </c>
      <c r="K107" s="0" t="n">
        <v>139558</v>
      </c>
      <c r="L107" s="0" t="n">
        <v>55352</v>
      </c>
      <c r="M107" s="0" t="n">
        <v>153405</v>
      </c>
      <c r="N107" s="0" t="n">
        <v>158166</v>
      </c>
      <c r="O107" s="0" t="n">
        <v>173242</v>
      </c>
      <c r="P107" s="0" t="n">
        <v>148063</v>
      </c>
      <c r="Q107" s="0" t="n">
        <v>134881</v>
      </c>
      <c r="R107" s="0" t="n">
        <v>158364</v>
      </c>
      <c r="S107" s="0" t="n">
        <v>190738</v>
      </c>
      <c r="T107" s="0" t="n">
        <v>11783</v>
      </c>
      <c r="U107" s="0" t="n">
        <v>125561</v>
      </c>
      <c r="V107" s="0" t="n">
        <v>21749</v>
      </c>
      <c r="W107" s="0" t="n">
        <f aca="false">IF(SUMPRODUCT(COUNTIF($C107:$L107,M107:M107))&gt;0,1,0)</f>
        <v>0</v>
      </c>
      <c r="X107" s="0" t="n">
        <f aca="false">IF(SUMPRODUCT(COUNTIF($C107:$L107,M107:O107))&gt;0,1,0)</f>
        <v>0</v>
      </c>
      <c r="Y107" s="0" t="n">
        <f aca="false">IF(SUMPRODUCT(COUNTIF($C107:$L107,M107:Q107))&gt;0,1,0)</f>
        <v>1</v>
      </c>
      <c r="Z107" s="0" t="n">
        <f aca="false">IF(SUMPRODUCT(COUNTIF($C107:$L107,M107:V107))&gt;0,1,0)</f>
        <v>1</v>
      </c>
      <c r="AA107" s="0" t="n">
        <f aca="false">IF(COUNTIF(M107:M107,$C107)&gt;0,1,0)</f>
        <v>0</v>
      </c>
      <c r="AB107" s="0" t="n">
        <f aca="false">IF(COUNTIF(M107:O107,$C107)&gt;0,1,0)</f>
        <v>0</v>
      </c>
      <c r="AC107" s="0" t="n">
        <f aca="false">IF(COUNTIF(M107:Q107,$C107)&gt;0,1,0)</f>
        <v>0</v>
      </c>
      <c r="AD107" s="0" t="n">
        <f aca="false">IF(COUNTIF(M107:V107,$C107)&gt;0,1,0)</f>
        <v>0</v>
      </c>
      <c r="AE107" s="0" t="n">
        <f aca="false">IFERROR(MATCH(1,INDEX(--(COUNTIF($C107:$L107,M107:V107)&gt;0),0),0),"")</f>
        <v>5</v>
      </c>
      <c r="AF107" s="0" t="n">
        <v>7995</v>
      </c>
    </row>
    <row r="108" customFormat="false" ht="15" hidden="false" customHeight="false" outlineLevel="0" collapsed="false">
      <c r="A108" s="0" t="s">
        <v>244</v>
      </c>
      <c r="B108" s="0" t="s">
        <v>245</v>
      </c>
      <c r="C108" s="0" t="n">
        <v>142932</v>
      </c>
      <c r="D108" s="0" t="n">
        <v>196732</v>
      </c>
      <c r="E108" s="0" t="n">
        <v>142927</v>
      </c>
      <c r="F108" s="0" t="n">
        <v>142930</v>
      </c>
      <c r="G108" s="0" t="n">
        <v>142925</v>
      </c>
      <c r="H108" s="0" t="n">
        <v>170410</v>
      </c>
      <c r="I108" s="0" t="n">
        <v>142929</v>
      </c>
      <c r="J108" s="0" t="n">
        <v>142926</v>
      </c>
      <c r="K108" s="0" t="n">
        <v>142933</v>
      </c>
      <c r="L108" s="0" t="n">
        <v>158682</v>
      </c>
      <c r="M108" s="0" t="n">
        <v>142933</v>
      </c>
      <c r="N108" s="0" t="n">
        <v>142925</v>
      </c>
      <c r="O108" s="0" t="n">
        <v>142931</v>
      </c>
      <c r="P108" s="0" t="n">
        <v>142932</v>
      </c>
      <c r="Q108" s="0" t="n">
        <v>190746</v>
      </c>
      <c r="R108" s="0" t="n">
        <v>142930</v>
      </c>
      <c r="S108" s="0" t="n">
        <v>142929</v>
      </c>
      <c r="T108" s="0" t="n">
        <v>196733</v>
      </c>
      <c r="U108" s="0" t="n">
        <v>190738</v>
      </c>
      <c r="V108" s="0" t="n">
        <v>186191</v>
      </c>
      <c r="W108" s="0" t="n">
        <f aca="false">IF(SUMPRODUCT(COUNTIF($C108:$L108,M108:M108))&gt;0,1,0)</f>
        <v>1</v>
      </c>
      <c r="X108" s="0" t="n">
        <f aca="false">IF(SUMPRODUCT(COUNTIF($C108:$L108,M108:O108))&gt;0,1,0)</f>
        <v>1</v>
      </c>
      <c r="Y108" s="0" t="n">
        <f aca="false">IF(SUMPRODUCT(COUNTIF($C108:$L108,M108:Q108))&gt;0,1,0)</f>
        <v>1</v>
      </c>
      <c r="Z108" s="0" t="n">
        <f aca="false">IF(SUMPRODUCT(COUNTIF($C108:$L108,M108:V108))&gt;0,1,0)</f>
        <v>1</v>
      </c>
      <c r="AA108" s="0" t="n">
        <f aca="false">IF(COUNTIF(M108:M108,$C108)&gt;0,1,0)</f>
        <v>0</v>
      </c>
      <c r="AB108" s="0" t="n">
        <f aca="false">IF(COUNTIF(M108:O108,$C108)&gt;0,1,0)</f>
        <v>0</v>
      </c>
      <c r="AC108" s="0" t="n">
        <f aca="false">IF(COUNTIF(M108:Q108,$C108)&gt;0,1,0)</f>
        <v>1</v>
      </c>
      <c r="AD108" s="0" t="n">
        <f aca="false">IF(COUNTIF(M108:V108,$C108)&gt;0,1,0)</f>
        <v>1</v>
      </c>
      <c r="AE108" s="0" t="n">
        <f aca="false">IFERROR(MATCH(1,INDEX(--(COUNTIF($C108:$L108,M108:V108)&gt;0),0),0),"")</f>
        <v>1</v>
      </c>
      <c r="AF108" s="0" t="n">
        <v>8514</v>
      </c>
    </row>
    <row r="109" customFormat="false" ht="15" hidden="false" customHeight="false" outlineLevel="0" collapsed="false">
      <c r="A109" s="0" t="s">
        <v>246</v>
      </c>
      <c r="B109" s="0" t="s">
        <v>247</v>
      </c>
      <c r="C109" s="0" t="n">
        <v>139542</v>
      </c>
      <c r="D109" s="0" t="n">
        <v>139558</v>
      </c>
      <c r="E109" s="0" t="n">
        <v>139540</v>
      </c>
      <c r="F109" s="0" t="n">
        <v>155538</v>
      </c>
      <c r="G109" s="0" t="n">
        <v>33328</v>
      </c>
      <c r="H109" s="0" t="n">
        <v>188479</v>
      </c>
      <c r="I109" s="0" t="n">
        <v>173269</v>
      </c>
      <c r="J109" s="0" t="n">
        <v>134878</v>
      </c>
      <c r="K109" s="0" t="n">
        <v>190837</v>
      </c>
      <c r="L109" s="0" t="n">
        <v>132132</v>
      </c>
      <c r="M109" s="0" t="n">
        <v>139558</v>
      </c>
      <c r="N109" s="0" t="n">
        <v>139542</v>
      </c>
      <c r="O109" s="0" t="n">
        <v>139543</v>
      </c>
      <c r="P109" s="0" t="n">
        <v>190837</v>
      </c>
      <c r="Q109" s="0" t="n">
        <v>139545</v>
      </c>
      <c r="R109" s="0" t="n">
        <v>170346</v>
      </c>
      <c r="S109" s="0" t="n">
        <v>139540</v>
      </c>
      <c r="T109" s="0" t="n">
        <v>33328</v>
      </c>
      <c r="U109" s="0" t="n">
        <v>121536</v>
      </c>
      <c r="V109" s="0" t="n">
        <v>173242</v>
      </c>
      <c r="W109" s="0" t="n">
        <f aca="false">IF(SUMPRODUCT(COUNTIF($C109:$L109,M109:M109))&gt;0,1,0)</f>
        <v>1</v>
      </c>
      <c r="X109" s="0" t="n">
        <f aca="false">IF(SUMPRODUCT(COUNTIF($C109:$L109,M109:O109))&gt;0,1,0)</f>
        <v>1</v>
      </c>
      <c r="Y109" s="0" t="n">
        <f aca="false">IF(SUMPRODUCT(COUNTIF($C109:$L109,M109:Q109))&gt;0,1,0)</f>
        <v>1</v>
      </c>
      <c r="Z109" s="0" t="n">
        <f aca="false">IF(SUMPRODUCT(COUNTIF($C109:$L109,M109:V109))&gt;0,1,0)</f>
        <v>1</v>
      </c>
      <c r="AA109" s="0" t="n">
        <f aca="false">IF(COUNTIF(M109:M109,$C109)&gt;0,1,0)</f>
        <v>0</v>
      </c>
      <c r="AB109" s="0" t="n">
        <f aca="false">IF(COUNTIF(M109:O109,$C109)&gt;0,1,0)</f>
        <v>1</v>
      </c>
      <c r="AC109" s="0" t="n">
        <f aca="false">IF(COUNTIF(M109:Q109,$C109)&gt;0,1,0)</f>
        <v>1</v>
      </c>
      <c r="AD109" s="0" t="n">
        <f aca="false">IF(COUNTIF(M109:V109,$C109)&gt;0,1,0)</f>
        <v>1</v>
      </c>
      <c r="AE109" s="0" t="n">
        <f aca="false">IFERROR(MATCH(1,INDEX(--(COUNTIF($C109:$L109,M109:V109)&gt;0),0),0),"")</f>
        <v>1</v>
      </c>
      <c r="AF109" s="0" t="n">
        <v>8442</v>
      </c>
    </row>
    <row r="110" customFormat="false" ht="15" hidden="false" customHeight="false" outlineLevel="0" collapsed="false">
      <c r="A110" s="0" t="s">
        <v>248</v>
      </c>
      <c r="B110" s="0" t="s">
        <v>249</v>
      </c>
      <c r="C110" s="0" t="n">
        <v>185679</v>
      </c>
      <c r="D110" s="0" t="n">
        <v>185681</v>
      </c>
      <c r="E110" s="0" t="n">
        <v>185676</v>
      </c>
      <c r="F110" s="0" t="n">
        <v>12106</v>
      </c>
      <c r="G110" s="0" t="n">
        <v>185680</v>
      </c>
      <c r="H110" s="0" t="n">
        <v>12104</v>
      </c>
      <c r="I110" s="0" t="n">
        <v>140574</v>
      </c>
      <c r="J110" s="0" t="n">
        <v>199396</v>
      </c>
      <c r="K110" s="0" t="n">
        <v>128251</v>
      </c>
      <c r="L110" s="0" t="n">
        <v>151649</v>
      </c>
      <c r="M110" s="0" t="n">
        <v>12106</v>
      </c>
      <c r="N110" s="0" t="n">
        <v>185679</v>
      </c>
      <c r="O110" s="0" t="n">
        <v>185676</v>
      </c>
      <c r="P110" s="0" t="n">
        <v>140561</v>
      </c>
      <c r="Q110" s="0" t="n">
        <v>185681</v>
      </c>
      <c r="R110" s="0" t="n">
        <v>147903</v>
      </c>
      <c r="S110" s="0" t="n">
        <v>147904</v>
      </c>
      <c r="T110" s="0" t="n">
        <v>147900</v>
      </c>
      <c r="U110" s="0" t="n">
        <v>26042</v>
      </c>
      <c r="V110" s="0" t="n">
        <v>147901</v>
      </c>
      <c r="W110" s="0" t="n">
        <f aca="false">IF(SUMPRODUCT(COUNTIF($C110:$L110,M110:M110))&gt;0,1,0)</f>
        <v>1</v>
      </c>
      <c r="X110" s="0" t="n">
        <f aca="false">IF(SUMPRODUCT(COUNTIF($C110:$L110,M110:O110))&gt;0,1,0)</f>
        <v>1</v>
      </c>
      <c r="Y110" s="0" t="n">
        <f aca="false">IF(SUMPRODUCT(COUNTIF($C110:$L110,M110:Q110))&gt;0,1,0)</f>
        <v>1</v>
      </c>
      <c r="Z110" s="0" t="n">
        <f aca="false">IF(SUMPRODUCT(COUNTIF($C110:$L110,M110:V110))&gt;0,1,0)</f>
        <v>1</v>
      </c>
      <c r="AA110" s="0" t="n">
        <f aca="false">IF(COUNTIF(M110:M110,$C110)&gt;0,1,0)</f>
        <v>0</v>
      </c>
      <c r="AB110" s="0" t="n">
        <f aca="false">IF(COUNTIF(M110:O110,$C110)&gt;0,1,0)</f>
        <v>1</v>
      </c>
      <c r="AC110" s="0" t="n">
        <f aca="false">IF(COUNTIF(M110:Q110,$C110)&gt;0,1,0)</f>
        <v>1</v>
      </c>
      <c r="AD110" s="0" t="n">
        <f aca="false">IF(COUNTIF(M110:V110,$C110)&gt;0,1,0)</f>
        <v>1</v>
      </c>
      <c r="AE110" s="0" t="n">
        <f aca="false">IFERROR(MATCH(1,INDEX(--(COUNTIF($C110:$L110,M110:V110)&gt;0),0),0),"")</f>
        <v>1</v>
      </c>
      <c r="AF110" s="0" t="n">
        <v>8305</v>
      </c>
    </row>
    <row r="111" customFormat="false" ht="15" hidden="false" customHeight="false" outlineLevel="0" collapsed="false">
      <c r="A111" s="0" t="s">
        <v>250</v>
      </c>
      <c r="B111" s="0" t="s">
        <v>251</v>
      </c>
      <c r="C111" s="0" t="n">
        <v>4220</v>
      </c>
      <c r="D111" s="0" t="n">
        <v>65100</v>
      </c>
      <c r="E111" s="0" t="n">
        <v>107978</v>
      </c>
      <c r="F111" s="0" t="n">
        <v>63259</v>
      </c>
      <c r="G111" s="0" t="n">
        <v>161269</v>
      </c>
      <c r="H111" s="0" t="n">
        <v>146759</v>
      </c>
      <c r="I111" s="0" t="n">
        <v>160005</v>
      </c>
      <c r="J111" s="0" t="n">
        <v>145232</v>
      </c>
      <c r="K111" s="0" t="n">
        <v>63261</v>
      </c>
      <c r="L111" s="0" t="n">
        <v>77927</v>
      </c>
      <c r="M111" s="0" t="n">
        <v>107978</v>
      </c>
      <c r="N111" s="0" t="n">
        <v>161269</v>
      </c>
      <c r="O111" s="0" t="n">
        <v>48388</v>
      </c>
      <c r="P111" s="0" t="n">
        <v>65099</v>
      </c>
      <c r="Q111" s="0" t="n">
        <v>65100</v>
      </c>
      <c r="R111" s="0" t="n">
        <v>63259</v>
      </c>
      <c r="S111" s="0" t="n">
        <v>166637</v>
      </c>
      <c r="T111" s="0" t="n">
        <v>65097</v>
      </c>
      <c r="U111" s="0" t="n">
        <v>77922</v>
      </c>
      <c r="V111" s="0" t="n">
        <v>161121</v>
      </c>
      <c r="W111" s="0" t="n">
        <f aca="false">IF(SUMPRODUCT(COUNTIF($C111:$L111,M111:M111))&gt;0,1,0)</f>
        <v>1</v>
      </c>
      <c r="X111" s="0" t="n">
        <f aca="false">IF(SUMPRODUCT(COUNTIF($C111:$L111,M111:O111))&gt;0,1,0)</f>
        <v>1</v>
      </c>
      <c r="Y111" s="0" t="n">
        <f aca="false">IF(SUMPRODUCT(COUNTIF($C111:$L111,M111:Q111))&gt;0,1,0)</f>
        <v>1</v>
      </c>
      <c r="Z111" s="0" t="n">
        <f aca="false">IF(SUMPRODUCT(COUNTIF($C111:$L111,M111:V111))&gt;0,1,0)</f>
        <v>1</v>
      </c>
      <c r="AA111" s="0" t="n">
        <f aca="false">IF(COUNTIF(M111:M111,$C111)&gt;0,1,0)</f>
        <v>0</v>
      </c>
      <c r="AB111" s="0" t="n">
        <f aca="false">IF(COUNTIF(M111:O111,$C111)&gt;0,1,0)</f>
        <v>0</v>
      </c>
      <c r="AC111" s="0" t="n">
        <f aca="false">IF(COUNTIF(M111:Q111,$C111)&gt;0,1,0)</f>
        <v>0</v>
      </c>
      <c r="AD111" s="0" t="n">
        <f aca="false">IF(COUNTIF(M111:V111,$C111)&gt;0,1,0)</f>
        <v>0</v>
      </c>
      <c r="AE111" s="0" t="n">
        <f aca="false">IFERROR(MATCH(1,INDEX(--(COUNTIF($C111:$L111,M111:V111)&gt;0),0),0),"")</f>
        <v>1</v>
      </c>
      <c r="AF111" s="0" t="n">
        <v>8796</v>
      </c>
    </row>
    <row r="112" customFormat="false" ht="15" hidden="false" customHeight="false" outlineLevel="0" collapsed="false">
      <c r="A112" s="0" t="s">
        <v>252</v>
      </c>
      <c r="B112" s="0" t="s">
        <v>253</v>
      </c>
      <c r="C112" s="0" t="n">
        <v>180573</v>
      </c>
      <c r="D112" s="0" t="n">
        <v>173398</v>
      </c>
      <c r="E112" s="0" t="n">
        <v>173295</v>
      </c>
      <c r="F112" s="0" t="n">
        <v>76273</v>
      </c>
      <c r="G112" s="0" t="n">
        <v>110135</v>
      </c>
      <c r="H112" s="0" t="n">
        <v>161541</v>
      </c>
      <c r="I112" s="0" t="n">
        <v>176495</v>
      </c>
      <c r="J112" s="0" t="n">
        <v>173187</v>
      </c>
      <c r="K112" s="0" t="n">
        <v>76271</v>
      </c>
      <c r="L112" s="0" t="n">
        <v>161524</v>
      </c>
      <c r="M112" s="0" t="n">
        <v>110133</v>
      </c>
      <c r="N112" s="0" t="n">
        <v>180495</v>
      </c>
      <c r="O112" s="0" t="n">
        <v>27396</v>
      </c>
      <c r="P112" s="0" t="n">
        <v>128034</v>
      </c>
      <c r="Q112" s="0" t="n">
        <v>188577</v>
      </c>
      <c r="R112" s="0" t="n">
        <v>110135</v>
      </c>
      <c r="S112" s="0" t="n">
        <v>133685</v>
      </c>
      <c r="T112" s="0" t="n">
        <v>9996</v>
      </c>
      <c r="U112" s="0" t="n">
        <v>110125</v>
      </c>
      <c r="V112" s="0" t="n">
        <v>80519</v>
      </c>
      <c r="W112" s="0" t="n">
        <f aca="false">IF(SUMPRODUCT(COUNTIF($C112:$L112,M112:M112))&gt;0,1,0)</f>
        <v>0</v>
      </c>
      <c r="X112" s="0" t="n">
        <f aca="false">IF(SUMPRODUCT(COUNTIF($C112:$L112,M112:O112))&gt;0,1,0)</f>
        <v>0</v>
      </c>
      <c r="Y112" s="0" t="n">
        <f aca="false">IF(SUMPRODUCT(COUNTIF($C112:$L112,M112:Q112))&gt;0,1,0)</f>
        <v>0</v>
      </c>
      <c r="Z112" s="0" t="n">
        <f aca="false">IF(SUMPRODUCT(COUNTIF($C112:$L112,M112:V112))&gt;0,1,0)</f>
        <v>1</v>
      </c>
      <c r="AA112" s="0" t="n">
        <f aca="false">IF(COUNTIF(M112:M112,$C112)&gt;0,1,0)</f>
        <v>0</v>
      </c>
      <c r="AB112" s="0" t="n">
        <f aca="false">IF(COUNTIF(M112:O112,$C112)&gt;0,1,0)</f>
        <v>0</v>
      </c>
      <c r="AC112" s="0" t="n">
        <f aca="false">IF(COUNTIF(M112:Q112,$C112)&gt;0,1,0)</f>
        <v>0</v>
      </c>
      <c r="AD112" s="0" t="n">
        <f aca="false">IF(COUNTIF(M112:V112,$C112)&gt;0,1,0)</f>
        <v>0</v>
      </c>
      <c r="AE112" s="0" t="n">
        <f aca="false">IFERROR(MATCH(1,INDEX(--(COUNTIF($C112:$L112,M112:V112)&gt;0),0),0),"")</f>
        <v>6</v>
      </c>
      <c r="AF112" s="0" t="n">
        <v>8120</v>
      </c>
    </row>
    <row r="113" customFormat="false" ht="15" hidden="false" customHeight="false" outlineLevel="0" collapsed="false">
      <c r="A113" s="0" t="s">
        <v>254</v>
      </c>
      <c r="B113" s="0" t="s">
        <v>255</v>
      </c>
      <c r="C113" s="0" t="n">
        <v>33943</v>
      </c>
      <c r="D113" s="0" t="n">
        <v>78657</v>
      </c>
      <c r="E113" s="0" t="n">
        <v>195504</v>
      </c>
      <c r="F113" s="0" t="n">
        <v>195597</v>
      </c>
      <c r="G113" s="0" t="n">
        <v>140687</v>
      </c>
      <c r="H113" s="0" t="n">
        <v>139170</v>
      </c>
      <c r="I113" s="0" t="n">
        <v>151645</v>
      </c>
      <c r="J113" s="0" t="n">
        <v>143656</v>
      </c>
      <c r="K113" s="0" t="n">
        <v>127848</v>
      </c>
      <c r="L113" s="0" t="n">
        <v>151646</v>
      </c>
      <c r="M113" s="0" t="n">
        <v>33943</v>
      </c>
      <c r="N113" s="0" t="n">
        <v>78657</v>
      </c>
      <c r="O113" s="0" t="n">
        <v>195504</v>
      </c>
      <c r="P113" s="0" t="n">
        <v>195597</v>
      </c>
      <c r="Q113" s="0" t="n">
        <v>78655</v>
      </c>
      <c r="R113" s="0" t="n">
        <v>32480</v>
      </c>
      <c r="S113" s="0" t="n">
        <v>121964</v>
      </c>
      <c r="T113" s="0" t="n">
        <v>195601</v>
      </c>
      <c r="U113" s="0" t="n">
        <v>107684</v>
      </c>
      <c r="V113" s="0" t="n">
        <v>158392</v>
      </c>
      <c r="W113" s="0" t="n">
        <f aca="false">IF(SUMPRODUCT(COUNTIF($C113:$L113,M113:M113))&gt;0,1,0)</f>
        <v>1</v>
      </c>
      <c r="X113" s="0" t="n">
        <f aca="false">IF(SUMPRODUCT(COUNTIF($C113:$L113,M113:O113))&gt;0,1,0)</f>
        <v>1</v>
      </c>
      <c r="Y113" s="0" t="n">
        <f aca="false">IF(SUMPRODUCT(COUNTIF($C113:$L113,M113:Q113))&gt;0,1,0)</f>
        <v>1</v>
      </c>
      <c r="Z113" s="0" t="n">
        <f aca="false">IF(SUMPRODUCT(COUNTIF($C113:$L113,M113:V113))&gt;0,1,0)</f>
        <v>1</v>
      </c>
      <c r="AA113" s="0" t="n">
        <f aca="false">IF(COUNTIF(M113:M113,$C113)&gt;0,1,0)</f>
        <v>1</v>
      </c>
      <c r="AB113" s="0" t="n">
        <f aca="false">IF(COUNTIF(M113:O113,$C113)&gt;0,1,0)</f>
        <v>1</v>
      </c>
      <c r="AC113" s="0" t="n">
        <f aca="false">IF(COUNTIF(M113:Q113,$C113)&gt;0,1,0)</f>
        <v>1</v>
      </c>
      <c r="AD113" s="0" t="n">
        <f aca="false">IF(COUNTIF(M113:V113,$C113)&gt;0,1,0)</f>
        <v>1</v>
      </c>
      <c r="AE113" s="0" t="n">
        <f aca="false">IFERROR(MATCH(1,INDEX(--(COUNTIF($C113:$L113,M113:V113)&gt;0),0),0),"")</f>
        <v>1</v>
      </c>
      <c r="AF113" s="0" t="n">
        <v>7864</v>
      </c>
    </row>
    <row r="114" customFormat="false" ht="15" hidden="false" customHeight="false" outlineLevel="0" collapsed="false">
      <c r="A114" s="0" t="s">
        <v>256</v>
      </c>
      <c r="B114" s="0" t="s">
        <v>257</v>
      </c>
      <c r="C114" s="0" t="n">
        <v>170346</v>
      </c>
      <c r="D114" s="0" t="n">
        <v>193434</v>
      </c>
      <c r="E114" s="0" t="n">
        <v>150695</v>
      </c>
      <c r="F114" s="0" t="n">
        <v>170410</v>
      </c>
      <c r="G114" s="0" t="n">
        <v>173475</v>
      </c>
      <c r="H114" s="0" t="n">
        <v>37267</v>
      </c>
      <c r="I114" s="0" t="n">
        <v>6326</v>
      </c>
      <c r="J114" s="0" t="n">
        <v>47398</v>
      </c>
      <c r="K114" s="0" t="n">
        <v>78713</v>
      </c>
      <c r="L114" s="0" t="n">
        <v>168612</v>
      </c>
      <c r="M114" s="0" t="n">
        <v>170346</v>
      </c>
      <c r="N114" s="0" t="n">
        <v>47397</v>
      </c>
      <c r="O114" s="0" t="n">
        <v>193434</v>
      </c>
      <c r="P114" s="0" t="n">
        <v>47398</v>
      </c>
      <c r="Q114" s="0" t="n">
        <v>190837</v>
      </c>
      <c r="R114" s="0" t="n">
        <v>6325</v>
      </c>
      <c r="S114" s="0" t="n">
        <v>6326</v>
      </c>
      <c r="T114" s="0" t="n">
        <v>6322</v>
      </c>
      <c r="U114" s="0" t="n">
        <v>180574</v>
      </c>
      <c r="V114" s="0" t="n">
        <v>115706</v>
      </c>
      <c r="W114" s="0" t="n">
        <f aca="false">IF(SUMPRODUCT(COUNTIF($C114:$L114,M114:M114))&gt;0,1,0)</f>
        <v>1</v>
      </c>
      <c r="X114" s="0" t="n">
        <f aca="false">IF(SUMPRODUCT(COUNTIF($C114:$L114,M114:O114))&gt;0,1,0)</f>
        <v>1</v>
      </c>
      <c r="Y114" s="0" t="n">
        <f aca="false">IF(SUMPRODUCT(COUNTIF($C114:$L114,M114:Q114))&gt;0,1,0)</f>
        <v>1</v>
      </c>
      <c r="Z114" s="0" t="n">
        <f aca="false">IF(SUMPRODUCT(COUNTIF($C114:$L114,M114:V114))&gt;0,1,0)</f>
        <v>1</v>
      </c>
      <c r="AA114" s="0" t="n">
        <f aca="false">IF(COUNTIF(M114:M114,$C114)&gt;0,1,0)</f>
        <v>1</v>
      </c>
      <c r="AB114" s="0" t="n">
        <f aca="false">IF(COUNTIF(M114:O114,$C114)&gt;0,1,0)</f>
        <v>1</v>
      </c>
      <c r="AC114" s="0" t="n">
        <f aca="false">IF(COUNTIF(M114:Q114,$C114)&gt;0,1,0)</f>
        <v>1</v>
      </c>
      <c r="AD114" s="0" t="n">
        <f aca="false">IF(COUNTIF(M114:V114,$C114)&gt;0,1,0)</f>
        <v>1</v>
      </c>
      <c r="AE114" s="0" t="n">
        <f aca="false">IFERROR(MATCH(1,INDEX(--(COUNTIF($C114:$L114,M114:V114)&gt;0),0),0),"")</f>
        <v>1</v>
      </c>
      <c r="AF114" s="0" t="n">
        <v>7846</v>
      </c>
    </row>
    <row r="115" customFormat="false" ht="15" hidden="false" customHeight="false" outlineLevel="0" collapsed="false">
      <c r="A115" s="0" t="s">
        <v>258</v>
      </c>
      <c r="B115" s="0" t="s">
        <v>259</v>
      </c>
      <c r="C115" s="0" t="n">
        <v>55263</v>
      </c>
      <c r="D115" s="0" t="n">
        <v>192294</v>
      </c>
      <c r="E115" s="0" t="n">
        <v>148682</v>
      </c>
      <c r="F115" s="0" t="n">
        <v>199353</v>
      </c>
      <c r="G115" s="0" t="n">
        <v>196082</v>
      </c>
      <c r="H115" s="0" t="n">
        <v>107945</v>
      </c>
      <c r="I115" s="0" t="n">
        <v>157610</v>
      </c>
      <c r="J115" s="0" t="n">
        <v>45895</v>
      </c>
      <c r="K115" s="0" t="n">
        <v>187569</v>
      </c>
      <c r="L115" s="0" t="n">
        <v>29018</v>
      </c>
      <c r="M115" s="0" t="n">
        <v>45895</v>
      </c>
      <c r="N115" s="0" t="n">
        <v>140000</v>
      </c>
      <c r="O115" s="0" t="n">
        <v>68854</v>
      </c>
      <c r="P115" s="0" t="n">
        <v>131336</v>
      </c>
      <c r="Q115" s="0" t="n">
        <v>55263</v>
      </c>
      <c r="R115" s="0" t="n">
        <v>61471</v>
      </c>
      <c r="S115" s="0" t="n">
        <v>107945</v>
      </c>
      <c r="T115" s="0" t="n">
        <v>107293</v>
      </c>
      <c r="U115" s="0" t="n">
        <v>187569</v>
      </c>
      <c r="V115" s="0" t="n">
        <v>158633</v>
      </c>
      <c r="W115" s="0" t="n">
        <f aca="false">IF(SUMPRODUCT(COUNTIF($C115:$L115,M115:M115))&gt;0,1,0)</f>
        <v>1</v>
      </c>
      <c r="X115" s="0" t="n">
        <f aca="false">IF(SUMPRODUCT(COUNTIF($C115:$L115,M115:O115))&gt;0,1,0)</f>
        <v>1</v>
      </c>
      <c r="Y115" s="0" t="n">
        <f aca="false">IF(SUMPRODUCT(COUNTIF($C115:$L115,M115:Q115))&gt;0,1,0)</f>
        <v>1</v>
      </c>
      <c r="Z115" s="0" t="n">
        <f aca="false">IF(SUMPRODUCT(COUNTIF($C115:$L115,M115:V115))&gt;0,1,0)</f>
        <v>1</v>
      </c>
      <c r="AA115" s="0" t="n">
        <f aca="false">IF(COUNTIF(M115:M115,$C115)&gt;0,1,0)</f>
        <v>0</v>
      </c>
      <c r="AB115" s="0" t="n">
        <f aca="false">IF(COUNTIF(M115:O115,$C115)&gt;0,1,0)</f>
        <v>0</v>
      </c>
      <c r="AC115" s="0" t="n">
        <f aca="false">IF(COUNTIF(M115:Q115,$C115)&gt;0,1,0)</f>
        <v>1</v>
      </c>
      <c r="AD115" s="0" t="n">
        <f aca="false">IF(COUNTIF(M115:V115,$C115)&gt;0,1,0)</f>
        <v>1</v>
      </c>
      <c r="AE115" s="0" t="n">
        <f aca="false">IFERROR(MATCH(1,INDEX(--(COUNTIF($C115:$L115,M115:V115)&gt;0),0),0),"")</f>
        <v>1</v>
      </c>
      <c r="AF115" s="0" t="n">
        <v>7764</v>
      </c>
    </row>
    <row r="116" customFormat="false" ht="15" hidden="false" customHeight="false" outlineLevel="0" collapsed="false">
      <c r="A116" s="0" t="s">
        <v>260</v>
      </c>
      <c r="B116" s="0" t="s">
        <v>261</v>
      </c>
      <c r="C116" s="0" t="n">
        <v>144612</v>
      </c>
      <c r="D116" s="0" t="n">
        <v>149280</v>
      </c>
      <c r="E116" s="0" t="n">
        <v>48356</v>
      </c>
      <c r="F116" s="0" t="n">
        <v>158072</v>
      </c>
      <c r="G116" s="0" t="n">
        <v>172574</v>
      </c>
      <c r="H116" s="0" t="n">
        <v>127492</v>
      </c>
      <c r="I116" s="0" t="n">
        <v>60711</v>
      </c>
      <c r="J116" s="0" t="n">
        <v>172573</v>
      </c>
      <c r="K116" s="0" t="n">
        <v>172566</v>
      </c>
      <c r="L116" s="0" t="n">
        <v>172579</v>
      </c>
      <c r="M116" s="0" t="n">
        <v>18056</v>
      </c>
      <c r="N116" s="0" t="n">
        <v>60711</v>
      </c>
      <c r="O116" s="0" t="n">
        <v>144612</v>
      </c>
      <c r="P116" s="0" t="n">
        <v>57403</v>
      </c>
      <c r="Q116" s="0" t="n">
        <v>161948</v>
      </c>
      <c r="R116" s="0" t="n">
        <v>151779</v>
      </c>
      <c r="S116" s="0" t="n">
        <v>48356</v>
      </c>
      <c r="T116" s="0" t="n">
        <v>158072</v>
      </c>
      <c r="U116" s="0" t="n">
        <v>127492</v>
      </c>
      <c r="V116" s="0" t="n">
        <v>50094</v>
      </c>
      <c r="W116" s="0" t="n">
        <f aca="false">IF(SUMPRODUCT(COUNTIF($C116:$L116,M116:M116))&gt;0,1,0)</f>
        <v>0</v>
      </c>
      <c r="X116" s="0" t="n">
        <f aca="false">IF(SUMPRODUCT(COUNTIF($C116:$L116,M116:O116))&gt;0,1,0)</f>
        <v>1</v>
      </c>
      <c r="Y116" s="0" t="n">
        <f aca="false">IF(SUMPRODUCT(COUNTIF($C116:$L116,M116:Q116))&gt;0,1,0)</f>
        <v>1</v>
      </c>
      <c r="Z116" s="0" t="n">
        <f aca="false">IF(SUMPRODUCT(COUNTIF($C116:$L116,M116:V116))&gt;0,1,0)</f>
        <v>1</v>
      </c>
      <c r="AA116" s="0" t="n">
        <f aca="false">IF(COUNTIF(M116:M116,$C116)&gt;0,1,0)</f>
        <v>0</v>
      </c>
      <c r="AB116" s="0" t="n">
        <f aca="false">IF(COUNTIF(M116:O116,$C116)&gt;0,1,0)</f>
        <v>1</v>
      </c>
      <c r="AC116" s="0" t="n">
        <f aca="false">IF(COUNTIF(M116:Q116,$C116)&gt;0,1,0)</f>
        <v>1</v>
      </c>
      <c r="AD116" s="0" t="n">
        <f aca="false">IF(COUNTIF(M116:V116,$C116)&gt;0,1,0)</f>
        <v>1</v>
      </c>
      <c r="AE116" s="0" t="n">
        <f aca="false">IFERROR(MATCH(1,INDEX(--(COUNTIF($C116:$L116,M116:V116)&gt;0),0),0),"")</f>
        <v>2</v>
      </c>
      <c r="AF116" s="0" t="n">
        <v>8018</v>
      </c>
    </row>
    <row r="117" customFormat="false" ht="15" hidden="false" customHeight="false" outlineLevel="0" collapsed="false">
      <c r="A117" s="0" t="s">
        <v>262</v>
      </c>
      <c r="B117" s="0" t="s">
        <v>263</v>
      </c>
      <c r="C117" s="0" t="n">
        <v>107295</v>
      </c>
      <c r="D117" s="0" t="n">
        <v>111604</v>
      </c>
      <c r="E117" s="0" t="n">
        <v>169346</v>
      </c>
      <c r="F117" s="0" t="n">
        <v>117720</v>
      </c>
      <c r="G117" s="0" t="n">
        <v>170187</v>
      </c>
      <c r="H117" s="0" t="n">
        <v>170202</v>
      </c>
      <c r="I117" s="0" t="n">
        <v>25771</v>
      </c>
      <c r="J117" s="0" t="n">
        <v>117716</v>
      </c>
      <c r="K117" s="0" t="n">
        <v>194521</v>
      </c>
      <c r="L117" s="0" t="n">
        <v>199353</v>
      </c>
      <c r="M117" s="0" t="n">
        <v>111604</v>
      </c>
      <c r="N117" s="0" t="n">
        <v>107295</v>
      </c>
      <c r="O117" s="0" t="n">
        <v>133072</v>
      </c>
      <c r="P117" s="0" t="n">
        <v>130927</v>
      </c>
      <c r="Q117" s="0" t="n">
        <v>107294</v>
      </c>
      <c r="R117" s="0" t="n">
        <v>20524</v>
      </c>
      <c r="S117" s="0" t="n">
        <v>104454</v>
      </c>
      <c r="T117" s="0" t="n">
        <v>151198</v>
      </c>
      <c r="U117" s="0" t="n">
        <v>20525</v>
      </c>
      <c r="V117" s="0" t="n">
        <v>170172</v>
      </c>
      <c r="W117" s="0" t="n">
        <f aca="false">IF(SUMPRODUCT(COUNTIF($C117:$L117,M117:M117))&gt;0,1,0)</f>
        <v>1</v>
      </c>
      <c r="X117" s="0" t="n">
        <f aca="false">IF(SUMPRODUCT(COUNTIF($C117:$L117,M117:O117))&gt;0,1,0)</f>
        <v>1</v>
      </c>
      <c r="Y117" s="0" t="n">
        <f aca="false">IF(SUMPRODUCT(COUNTIF($C117:$L117,M117:Q117))&gt;0,1,0)</f>
        <v>1</v>
      </c>
      <c r="Z117" s="0" t="n">
        <f aca="false">IF(SUMPRODUCT(COUNTIF($C117:$L117,M117:V117))&gt;0,1,0)</f>
        <v>1</v>
      </c>
      <c r="AA117" s="0" t="n">
        <f aca="false">IF(COUNTIF(M117:M117,$C117)&gt;0,1,0)</f>
        <v>0</v>
      </c>
      <c r="AB117" s="0" t="n">
        <f aca="false">IF(COUNTIF(M117:O117,$C117)&gt;0,1,0)</f>
        <v>1</v>
      </c>
      <c r="AC117" s="0" t="n">
        <f aca="false">IF(COUNTIF(M117:Q117,$C117)&gt;0,1,0)</f>
        <v>1</v>
      </c>
      <c r="AD117" s="0" t="n">
        <f aca="false">IF(COUNTIF(M117:V117,$C117)&gt;0,1,0)</f>
        <v>1</v>
      </c>
      <c r="AE117" s="0" t="n">
        <f aca="false">IFERROR(MATCH(1,INDEX(--(COUNTIF($C117:$L117,M117:V117)&gt;0),0),0),"")</f>
        <v>1</v>
      </c>
      <c r="AF117" s="0" t="n">
        <v>8766</v>
      </c>
    </row>
    <row r="118" customFormat="false" ht="15" hidden="false" customHeight="false" outlineLevel="0" collapsed="false">
      <c r="A118" s="0" t="s">
        <v>264</v>
      </c>
      <c r="B118" s="0" t="s">
        <v>265</v>
      </c>
      <c r="C118" s="0" t="n">
        <v>134318</v>
      </c>
      <c r="D118" s="0" t="n">
        <v>141100</v>
      </c>
      <c r="E118" s="0" t="n">
        <v>193995</v>
      </c>
      <c r="F118" s="0" t="n">
        <v>69857</v>
      </c>
      <c r="G118" s="0" t="n">
        <v>184106</v>
      </c>
      <c r="H118" s="0" t="n">
        <v>126197</v>
      </c>
      <c r="I118" s="0" t="n">
        <v>109776</v>
      </c>
      <c r="J118" s="0" t="n">
        <v>157606</v>
      </c>
      <c r="K118" s="0" t="n">
        <v>176244</v>
      </c>
      <c r="L118" s="0" t="n">
        <v>74680</v>
      </c>
      <c r="M118" s="0" t="n">
        <v>32372</v>
      </c>
      <c r="N118" s="0" t="n">
        <v>120059</v>
      </c>
      <c r="O118" s="0" t="n">
        <v>12910</v>
      </c>
      <c r="P118" s="0" t="n">
        <v>24072</v>
      </c>
      <c r="Q118" s="0" t="n">
        <v>139568</v>
      </c>
      <c r="R118" s="0" t="n">
        <v>134318</v>
      </c>
      <c r="S118" s="0" t="n">
        <v>148644</v>
      </c>
      <c r="T118" s="0" t="n">
        <v>193995</v>
      </c>
      <c r="U118" s="0" t="n">
        <v>159209</v>
      </c>
      <c r="V118" s="0" t="n">
        <v>147900</v>
      </c>
      <c r="W118" s="0" t="n">
        <f aca="false">IF(SUMPRODUCT(COUNTIF($C118:$L118,M118:M118))&gt;0,1,0)</f>
        <v>0</v>
      </c>
      <c r="X118" s="0" t="n">
        <f aca="false">IF(SUMPRODUCT(COUNTIF($C118:$L118,M118:O118))&gt;0,1,0)</f>
        <v>0</v>
      </c>
      <c r="Y118" s="0" t="n">
        <f aca="false">IF(SUMPRODUCT(COUNTIF($C118:$L118,M118:Q118))&gt;0,1,0)</f>
        <v>0</v>
      </c>
      <c r="Z118" s="0" t="n">
        <f aca="false">IF(SUMPRODUCT(COUNTIF($C118:$L118,M118:V118))&gt;0,1,0)</f>
        <v>1</v>
      </c>
      <c r="AA118" s="0" t="n">
        <f aca="false">IF(COUNTIF(M118:M118,$C118)&gt;0,1,0)</f>
        <v>0</v>
      </c>
      <c r="AB118" s="0" t="n">
        <f aca="false">IF(COUNTIF(M118:O118,$C118)&gt;0,1,0)</f>
        <v>0</v>
      </c>
      <c r="AC118" s="0" t="n">
        <f aca="false">IF(COUNTIF(M118:Q118,$C118)&gt;0,1,0)</f>
        <v>0</v>
      </c>
      <c r="AD118" s="0" t="n">
        <f aca="false">IF(COUNTIF(M118:V118,$C118)&gt;0,1,0)</f>
        <v>1</v>
      </c>
      <c r="AE118" s="0" t="n">
        <f aca="false">IFERROR(MATCH(1,INDEX(--(COUNTIF($C118:$L118,M118:V118)&gt;0),0),0),"")</f>
        <v>6</v>
      </c>
      <c r="AF118" s="0" t="n">
        <v>8322</v>
      </c>
    </row>
    <row r="119" customFormat="false" ht="15" hidden="false" customHeight="false" outlineLevel="0" collapsed="false">
      <c r="A119" s="0" t="s">
        <v>266</v>
      </c>
      <c r="B119" s="0" t="s">
        <v>267</v>
      </c>
      <c r="C119" s="0" t="n">
        <v>147900</v>
      </c>
      <c r="D119" s="0" t="n">
        <v>147901</v>
      </c>
      <c r="E119" s="0" t="n">
        <v>37626</v>
      </c>
      <c r="F119" s="0" t="n">
        <v>37616</v>
      </c>
      <c r="G119" s="0" t="n">
        <v>179126</v>
      </c>
      <c r="H119" s="0" t="n">
        <v>37614</v>
      </c>
      <c r="I119" s="0" t="n">
        <v>37618</v>
      </c>
      <c r="J119" s="0" t="n">
        <v>195362</v>
      </c>
      <c r="K119" s="0" t="n">
        <v>159333</v>
      </c>
      <c r="L119" s="0" t="n">
        <v>179125</v>
      </c>
      <c r="M119" s="0" t="n">
        <v>147900</v>
      </c>
      <c r="N119" s="0" t="n">
        <v>147901</v>
      </c>
      <c r="O119" s="0" t="n">
        <v>147904</v>
      </c>
      <c r="P119" s="0" t="n">
        <v>147903</v>
      </c>
      <c r="Q119" s="0" t="n">
        <v>159328</v>
      </c>
      <c r="R119" s="0" t="n">
        <v>159334</v>
      </c>
      <c r="S119" s="0" t="n">
        <v>56837</v>
      </c>
      <c r="T119" s="0" t="n">
        <v>37631</v>
      </c>
      <c r="U119" s="0" t="n">
        <v>123889</v>
      </c>
      <c r="V119" s="0" t="n">
        <v>147902</v>
      </c>
      <c r="W119" s="0" t="n">
        <f aca="false">IF(SUMPRODUCT(COUNTIF($C119:$L119,M119:M119))&gt;0,1,0)</f>
        <v>1</v>
      </c>
      <c r="X119" s="0" t="n">
        <f aca="false">IF(SUMPRODUCT(COUNTIF($C119:$L119,M119:O119))&gt;0,1,0)</f>
        <v>1</v>
      </c>
      <c r="Y119" s="0" t="n">
        <f aca="false">IF(SUMPRODUCT(COUNTIF($C119:$L119,M119:Q119))&gt;0,1,0)</f>
        <v>1</v>
      </c>
      <c r="Z119" s="0" t="n">
        <f aca="false">IF(SUMPRODUCT(COUNTIF($C119:$L119,M119:V119))&gt;0,1,0)</f>
        <v>1</v>
      </c>
      <c r="AA119" s="0" t="n">
        <f aca="false">IF(COUNTIF(M119:M119,$C119)&gt;0,1,0)</f>
        <v>1</v>
      </c>
      <c r="AB119" s="0" t="n">
        <f aca="false">IF(COUNTIF(M119:O119,$C119)&gt;0,1,0)</f>
        <v>1</v>
      </c>
      <c r="AC119" s="0" t="n">
        <f aca="false">IF(COUNTIF(M119:Q119,$C119)&gt;0,1,0)</f>
        <v>1</v>
      </c>
      <c r="AD119" s="0" t="n">
        <f aca="false">IF(COUNTIF(M119:V119,$C119)&gt;0,1,0)</f>
        <v>1</v>
      </c>
      <c r="AE119" s="0" t="n">
        <f aca="false">IFERROR(MATCH(1,INDEX(--(COUNTIF($C119:$L119,M119:V119)&gt;0),0),0),"")</f>
        <v>1</v>
      </c>
      <c r="AF119" s="0" t="n">
        <v>8313</v>
      </c>
    </row>
    <row r="120" customFormat="false" ht="15" hidden="false" customHeight="false" outlineLevel="0" collapsed="false">
      <c r="A120" s="0" t="s">
        <v>268</v>
      </c>
      <c r="B120" s="0" t="s">
        <v>269</v>
      </c>
      <c r="C120" s="0" t="n">
        <v>142931</v>
      </c>
      <c r="D120" s="0" t="n">
        <v>186191</v>
      </c>
      <c r="E120" s="0" t="n">
        <v>60897</v>
      </c>
      <c r="F120" s="0" t="n">
        <v>78572</v>
      </c>
      <c r="G120" s="0" t="n">
        <v>107945</v>
      </c>
      <c r="H120" s="0" t="n">
        <v>186183</v>
      </c>
      <c r="I120" s="0" t="n">
        <v>131337</v>
      </c>
      <c r="J120" s="0" t="n">
        <v>160110</v>
      </c>
      <c r="K120" s="0" t="n">
        <v>131343</v>
      </c>
      <c r="L120" s="0" t="n">
        <v>69740</v>
      </c>
      <c r="M120" s="0" t="n">
        <v>164952</v>
      </c>
      <c r="N120" s="0" t="n">
        <v>196645</v>
      </c>
      <c r="O120" s="0" t="n">
        <v>142931</v>
      </c>
      <c r="P120" s="0" t="n">
        <v>196733</v>
      </c>
      <c r="Q120" s="0" t="n">
        <v>158683</v>
      </c>
      <c r="R120" s="0" t="n">
        <v>186191</v>
      </c>
      <c r="S120" s="0" t="n">
        <v>114981</v>
      </c>
      <c r="T120" s="0" t="n">
        <v>155546</v>
      </c>
      <c r="U120" s="0" t="n">
        <v>97415</v>
      </c>
      <c r="V120" s="0" t="n">
        <v>159344</v>
      </c>
      <c r="W120" s="0" t="n">
        <f aca="false">IF(SUMPRODUCT(COUNTIF($C120:$L120,M120:M120))&gt;0,1,0)</f>
        <v>0</v>
      </c>
      <c r="X120" s="0" t="n">
        <f aca="false">IF(SUMPRODUCT(COUNTIF($C120:$L120,M120:O120))&gt;0,1,0)</f>
        <v>1</v>
      </c>
      <c r="Y120" s="0" t="n">
        <f aca="false">IF(SUMPRODUCT(COUNTIF($C120:$L120,M120:Q120))&gt;0,1,0)</f>
        <v>1</v>
      </c>
      <c r="Z120" s="0" t="n">
        <f aca="false">IF(SUMPRODUCT(COUNTIF($C120:$L120,M120:V120))&gt;0,1,0)</f>
        <v>1</v>
      </c>
      <c r="AA120" s="0" t="n">
        <f aca="false">IF(COUNTIF(M120:M120,$C120)&gt;0,1,0)</f>
        <v>0</v>
      </c>
      <c r="AB120" s="0" t="n">
        <f aca="false">IF(COUNTIF(M120:O120,$C120)&gt;0,1,0)</f>
        <v>1</v>
      </c>
      <c r="AC120" s="0" t="n">
        <f aca="false">IF(COUNTIF(M120:Q120,$C120)&gt;0,1,0)</f>
        <v>1</v>
      </c>
      <c r="AD120" s="0" t="n">
        <f aca="false">IF(COUNTIF(M120:V120,$C120)&gt;0,1,0)</f>
        <v>1</v>
      </c>
      <c r="AE120" s="0" t="n">
        <f aca="false">IFERROR(MATCH(1,INDEX(--(COUNTIF($C120:$L120,M120:V120)&gt;0),0),0),"")</f>
        <v>3</v>
      </c>
      <c r="AF120" s="0" t="n">
        <v>8233</v>
      </c>
    </row>
    <row r="121" customFormat="false" ht="15" hidden="false" customHeight="false" outlineLevel="0" collapsed="false">
      <c r="A121" s="0" t="s">
        <v>270</v>
      </c>
      <c r="B121" s="0" t="s">
        <v>271</v>
      </c>
      <c r="C121" s="0" t="n">
        <v>171450</v>
      </c>
      <c r="D121" s="0" t="n">
        <v>187423</v>
      </c>
      <c r="E121" s="0" t="n">
        <v>190116</v>
      </c>
      <c r="F121" s="0" t="n">
        <v>188478</v>
      </c>
      <c r="G121" s="0" t="n">
        <v>158354</v>
      </c>
      <c r="H121" s="0" t="n">
        <v>100280</v>
      </c>
      <c r="I121" s="0" t="n">
        <v>190129</v>
      </c>
      <c r="J121" s="0" t="n">
        <v>190127</v>
      </c>
      <c r="K121" s="0" t="n">
        <v>190126</v>
      </c>
      <c r="L121" s="0" t="n">
        <v>188452</v>
      </c>
      <c r="M121" s="0" t="n">
        <v>151818</v>
      </c>
      <c r="N121" s="0" t="n">
        <v>99302</v>
      </c>
      <c r="O121" s="0" t="n">
        <v>100280</v>
      </c>
      <c r="P121" s="0" t="n">
        <v>187423</v>
      </c>
      <c r="Q121" s="0" t="n">
        <v>158364</v>
      </c>
      <c r="R121" s="0" t="n">
        <v>158354</v>
      </c>
      <c r="S121" s="0" t="n">
        <v>171450</v>
      </c>
      <c r="T121" s="0" t="n">
        <v>127023</v>
      </c>
      <c r="U121" s="0" t="n">
        <v>36833</v>
      </c>
      <c r="V121" s="0" t="n">
        <v>162029</v>
      </c>
      <c r="W121" s="0" t="n">
        <f aca="false">IF(SUMPRODUCT(COUNTIF($C121:$L121,M121:M121))&gt;0,1,0)</f>
        <v>0</v>
      </c>
      <c r="X121" s="0" t="n">
        <f aca="false">IF(SUMPRODUCT(COUNTIF($C121:$L121,M121:O121))&gt;0,1,0)</f>
        <v>1</v>
      </c>
      <c r="Y121" s="0" t="n">
        <f aca="false">IF(SUMPRODUCT(COUNTIF($C121:$L121,M121:Q121))&gt;0,1,0)</f>
        <v>1</v>
      </c>
      <c r="Z121" s="0" t="n">
        <f aca="false">IF(SUMPRODUCT(COUNTIF($C121:$L121,M121:V121))&gt;0,1,0)</f>
        <v>1</v>
      </c>
      <c r="AA121" s="0" t="n">
        <f aca="false">IF(COUNTIF(M121:M121,$C121)&gt;0,1,0)</f>
        <v>0</v>
      </c>
      <c r="AB121" s="0" t="n">
        <f aca="false">IF(COUNTIF(M121:O121,$C121)&gt;0,1,0)</f>
        <v>0</v>
      </c>
      <c r="AC121" s="0" t="n">
        <f aca="false">IF(COUNTIF(M121:Q121,$C121)&gt;0,1,0)</f>
        <v>0</v>
      </c>
      <c r="AD121" s="0" t="n">
        <f aca="false">IF(COUNTIF(M121:V121,$C121)&gt;0,1,0)</f>
        <v>1</v>
      </c>
      <c r="AE121" s="0" t="n">
        <f aca="false">IFERROR(MATCH(1,INDEX(--(COUNTIF($C121:$L121,M121:V121)&gt;0),0),0),"")</f>
        <v>3</v>
      </c>
      <c r="AF121" s="0" t="n">
        <v>8606</v>
      </c>
    </row>
    <row r="122" customFormat="false" ht="15" hidden="false" customHeight="false" outlineLevel="0" collapsed="false">
      <c r="A122" s="0" t="s">
        <v>272</v>
      </c>
      <c r="B122" s="0" t="s">
        <v>273</v>
      </c>
      <c r="C122" s="0" t="n">
        <v>120515</v>
      </c>
      <c r="D122" s="0" t="n">
        <v>39713</v>
      </c>
      <c r="E122" s="0" t="n">
        <v>120513</v>
      </c>
      <c r="F122" s="0" t="n">
        <v>120501</v>
      </c>
      <c r="G122" s="0" t="n">
        <v>39699</v>
      </c>
      <c r="H122" s="0" t="n">
        <v>139630</v>
      </c>
      <c r="I122" s="0" t="n">
        <v>95789</v>
      </c>
      <c r="J122" s="0" t="n">
        <v>39694</v>
      </c>
      <c r="K122" s="0" t="n">
        <v>170046</v>
      </c>
      <c r="L122" s="0" t="n">
        <v>35127</v>
      </c>
      <c r="M122" s="0" t="n">
        <v>120515</v>
      </c>
      <c r="N122" s="0" t="n">
        <v>39713</v>
      </c>
      <c r="O122" s="0" t="n">
        <v>39693</v>
      </c>
      <c r="P122" s="0" t="n">
        <v>120513</v>
      </c>
      <c r="Q122" s="0" t="n">
        <v>120503</v>
      </c>
      <c r="R122" s="0" t="n">
        <v>39700</v>
      </c>
      <c r="S122" s="0" t="n">
        <v>120494</v>
      </c>
      <c r="T122" s="0" t="n">
        <v>120501</v>
      </c>
      <c r="U122" s="0" t="n">
        <v>39699</v>
      </c>
      <c r="V122" s="0" t="n">
        <v>39697</v>
      </c>
      <c r="W122" s="0" t="n">
        <f aca="false">IF(SUMPRODUCT(COUNTIF($C122:$L122,M122:M122))&gt;0,1,0)</f>
        <v>1</v>
      </c>
      <c r="X122" s="0" t="n">
        <f aca="false">IF(SUMPRODUCT(COUNTIF($C122:$L122,M122:O122))&gt;0,1,0)</f>
        <v>1</v>
      </c>
      <c r="Y122" s="0" t="n">
        <f aca="false">IF(SUMPRODUCT(COUNTIF($C122:$L122,M122:Q122))&gt;0,1,0)</f>
        <v>1</v>
      </c>
      <c r="Z122" s="0" t="n">
        <f aca="false">IF(SUMPRODUCT(COUNTIF($C122:$L122,M122:V122))&gt;0,1,0)</f>
        <v>1</v>
      </c>
      <c r="AA122" s="0" t="n">
        <f aca="false">IF(COUNTIF(M122:M122,$C122)&gt;0,1,0)</f>
        <v>1</v>
      </c>
      <c r="AB122" s="0" t="n">
        <f aca="false">IF(COUNTIF(M122:O122,$C122)&gt;0,1,0)</f>
        <v>1</v>
      </c>
      <c r="AC122" s="0" t="n">
        <f aca="false">IF(COUNTIF(M122:Q122,$C122)&gt;0,1,0)</f>
        <v>1</v>
      </c>
      <c r="AD122" s="0" t="n">
        <f aca="false">IF(COUNTIF(M122:V122,$C122)&gt;0,1,0)</f>
        <v>1</v>
      </c>
      <c r="AE122" s="0" t="n">
        <f aca="false">IFERROR(MATCH(1,INDEX(--(COUNTIF($C122:$L122,M122:V122)&gt;0),0),0),"")</f>
        <v>1</v>
      </c>
      <c r="AF122" s="0" t="n">
        <v>8066</v>
      </c>
    </row>
    <row r="123" customFormat="false" ht="15" hidden="false" customHeight="false" outlineLevel="0" collapsed="false">
      <c r="A123" s="0" t="s">
        <v>274</v>
      </c>
      <c r="B123" s="0" t="s">
        <v>275</v>
      </c>
      <c r="C123" s="0" t="n">
        <v>158166</v>
      </c>
      <c r="D123" s="0" t="n">
        <v>195011</v>
      </c>
      <c r="E123" s="0" t="n">
        <v>125561</v>
      </c>
      <c r="F123" s="0" t="n">
        <v>76573</v>
      </c>
      <c r="G123" s="0" t="n">
        <v>180574</v>
      </c>
      <c r="H123" s="0" t="n">
        <v>196395</v>
      </c>
      <c r="I123" s="0" t="n">
        <v>188722</v>
      </c>
      <c r="J123" s="0" t="n">
        <v>199710</v>
      </c>
      <c r="K123" s="0" t="n">
        <v>195724</v>
      </c>
      <c r="L123" s="0" t="n">
        <v>181107</v>
      </c>
      <c r="M123" s="0" t="n">
        <v>153405</v>
      </c>
      <c r="N123" s="0" t="n">
        <v>76573</v>
      </c>
      <c r="O123" s="0" t="n">
        <v>158166</v>
      </c>
      <c r="P123" s="0" t="n">
        <v>180574</v>
      </c>
      <c r="Q123" s="0" t="n">
        <v>195011</v>
      </c>
      <c r="R123" s="0" t="n">
        <v>125561</v>
      </c>
      <c r="S123" s="0" t="n">
        <v>161745</v>
      </c>
      <c r="T123" s="0" t="n">
        <v>123989</v>
      </c>
      <c r="U123" s="0" t="n">
        <v>125541</v>
      </c>
      <c r="V123" s="0" t="n">
        <v>11783</v>
      </c>
      <c r="W123" s="0" t="n">
        <f aca="false">IF(SUMPRODUCT(COUNTIF($C123:$L123,M123:M123))&gt;0,1,0)</f>
        <v>0</v>
      </c>
      <c r="X123" s="0" t="n">
        <f aca="false">IF(SUMPRODUCT(COUNTIF($C123:$L123,M123:O123))&gt;0,1,0)</f>
        <v>1</v>
      </c>
      <c r="Y123" s="0" t="n">
        <f aca="false">IF(SUMPRODUCT(COUNTIF($C123:$L123,M123:Q123))&gt;0,1,0)</f>
        <v>1</v>
      </c>
      <c r="Z123" s="0" t="n">
        <f aca="false">IF(SUMPRODUCT(COUNTIF($C123:$L123,M123:V123))&gt;0,1,0)</f>
        <v>1</v>
      </c>
      <c r="AA123" s="0" t="n">
        <f aca="false">IF(COUNTIF(M123:M123,$C123)&gt;0,1,0)</f>
        <v>0</v>
      </c>
      <c r="AB123" s="0" t="n">
        <f aca="false">IF(COUNTIF(M123:O123,$C123)&gt;0,1,0)</f>
        <v>1</v>
      </c>
      <c r="AC123" s="0" t="n">
        <f aca="false">IF(COUNTIF(M123:Q123,$C123)&gt;0,1,0)</f>
        <v>1</v>
      </c>
      <c r="AD123" s="0" t="n">
        <f aca="false">IF(COUNTIF(M123:V123,$C123)&gt;0,1,0)</f>
        <v>1</v>
      </c>
      <c r="AE123" s="0" t="n">
        <f aca="false">IFERROR(MATCH(1,INDEX(--(COUNTIF($C123:$L123,M123:V123)&gt;0),0),0),"")</f>
        <v>2</v>
      </c>
      <c r="AF123" s="0" t="n">
        <v>8300</v>
      </c>
    </row>
    <row r="124" customFormat="false" ht="15" hidden="false" customHeight="false" outlineLevel="0" collapsed="false">
      <c r="A124" s="0" t="s">
        <v>276</v>
      </c>
      <c r="B124" s="0" t="s">
        <v>277</v>
      </c>
      <c r="C124" s="0" t="n">
        <v>166633</v>
      </c>
      <c r="D124" s="0" t="n">
        <v>61967</v>
      </c>
      <c r="E124" s="0" t="n">
        <v>153532</v>
      </c>
      <c r="F124" s="0" t="n">
        <v>151069</v>
      </c>
      <c r="G124" s="0" t="n">
        <v>141429</v>
      </c>
      <c r="H124" s="0" t="n">
        <v>95533</v>
      </c>
      <c r="I124" s="0" t="n">
        <v>139170</v>
      </c>
      <c r="J124" s="0" t="n">
        <v>151651</v>
      </c>
      <c r="K124" s="0" t="n">
        <v>176364</v>
      </c>
      <c r="L124" s="0" t="n">
        <v>147901</v>
      </c>
      <c r="M124" s="0" t="n">
        <v>61964</v>
      </c>
      <c r="N124" s="0" t="n">
        <v>3680</v>
      </c>
      <c r="O124" s="0" t="n">
        <v>65097</v>
      </c>
      <c r="P124" s="0" t="n">
        <v>95536</v>
      </c>
      <c r="Q124" s="0" t="n">
        <v>151205</v>
      </c>
      <c r="R124" s="0" t="n">
        <v>4282</v>
      </c>
      <c r="S124" s="0" t="n">
        <v>103812</v>
      </c>
      <c r="T124" s="0" t="n">
        <v>61968</v>
      </c>
      <c r="U124" s="0" t="n">
        <v>139970</v>
      </c>
      <c r="V124" s="0" t="n">
        <v>120491</v>
      </c>
      <c r="W124" s="0" t="n">
        <f aca="false">IF(SUMPRODUCT(COUNTIF($C124:$L124,M124:M124))&gt;0,1,0)</f>
        <v>0</v>
      </c>
      <c r="X124" s="0" t="n">
        <f aca="false">IF(SUMPRODUCT(COUNTIF($C124:$L124,M124:O124))&gt;0,1,0)</f>
        <v>0</v>
      </c>
      <c r="Y124" s="0" t="n">
        <f aca="false">IF(SUMPRODUCT(COUNTIF($C124:$L124,M124:Q124))&gt;0,1,0)</f>
        <v>0</v>
      </c>
      <c r="Z124" s="0" t="n">
        <f aca="false">IF(SUMPRODUCT(COUNTIF($C124:$L124,M124:V124))&gt;0,1,0)</f>
        <v>0</v>
      </c>
      <c r="AA124" s="0" t="n">
        <f aca="false">IF(COUNTIF(M124:M124,$C124)&gt;0,1,0)</f>
        <v>0</v>
      </c>
      <c r="AB124" s="0" t="n">
        <f aca="false">IF(COUNTIF(M124:O124,$C124)&gt;0,1,0)</f>
        <v>0</v>
      </c>
      <c r="AC124" s="0" t="n">
        <f aca="false">IF(COUNTIF(M124:Q124,$C124)&gt;0,1,0)</f>
        <v>0</v>
      </c>
      <c r="AD124" s="0" t="n">
        <f aca="false">IF(COUNTIF(M124:V124,$C124)&gt;0,1,0)</f>
        <v>0</v>
      </c>
      <c r="AE124" s="0" t="str">
        <f aca="false">IFERROR(MATCH(1,INDEX(--(COUNTIF($C124:$L124,M124:V124)&gt;0),0),0),"")</f>
        <v/>
      </c>
      <c r="AF124" s="0" t="n">
        <v>8021</v>
      </c>
    </row>
    <row r="125" customFormat="false" ht="15" hidden="false" customHeight="false" outlineLevel="0" collapsed="false">
      <c r="A125" s="0" t="s">
        <v>278</v>
      </c>
      <c r="B125" s="0" t="s">
        <v>279</v>
      </c>
      <c r="C125" s="0" t="n">
        <v>114985</v>
      </c>
      <c r="D125" s="0" t="n">
        <v>17470</v>
      </c>
      <c r="E125" s="0" t="n">
        <v>41287</v>
      </c>
      <c r="F125" s="0" t="n">
        <v>18056</v>
      </c>
      <c r="G125" s="0" t="n">
        <v>169149</v>
      </c>
      <c r="H125" s="0" t="n">
        <v>173619</v>
      </c>
      <c r="I125" s="0" t="n">
        <v>18057</v>
      </c>
      <c r="J125" s="0" t="n">
        <v>175242</v>
      </c>
      <c r="K125" s="0" t="n">
        <v>170171</v>
      </c>
      <c r="L125" s="0" t="n">
        <v>140507</v>
      </c>
      <c r="M125" s="0" t="n">
        <v>18056</v>
      </c>
      <c r="N125" s="0" t="n">
        <v>41228</v>
      </c>
      <c r="O125" s="0" t="n">
        <v>18055</v>
      </c>
      <c r="P125" s="0" t="n">
        <v>18058</v>
      </c>
      <c r="Q125" s="0" t="n">
        <v>19465</v>
      </c>
      <c r="R125" s="0" t="n">
        <v>151590</v>
      </c>
      <c r="S125" s="0" t="n">
        <v>173619</v>
      </c>
      <c r="T125" s="0" t="n">
        <v>158072</v>
      </c>
      <c r="U125" s="0" t="n">
        <v>58036</v>
      </c>
      <c r="V125" s="0" t="n">
        <v>121527</v>
      </c>
      <c r="W125" s="0" t="n">
        <f aca="false">IF(SUMPRODUCT(COUNTIF($C125:$L125,M125:M125))&gt;0,1,0)</f>
        <v>1</v>
      </c>
      <c r="X125" s="0" t="n">
        <f aca="false">IF(SUMPRODUCT(COUNTIF($C125:$L125,M125:O125))&gt;0,1,0)</f>
        <v>1</v>
      </c>
      <c r="Y125" s="0" t="n">
        <f aca="false">IF(SUMPRODUCT(COUNTIF($C125:$L125,M125:Q125))&gt;0,1,0)</f>
        <v>1</v>
      </c>
      <c r="Z125" s="0" t="n">
        <f aca="false">IF(SUMPRODUCT(COUNTIF($C125:$L125,M125:V125))&gt;0,1,0)</f>
        <v>1</v>
      </c>
      <c r="AA125" s="0" t="n">
        <f aca="false">IF(COUNTIF(M125:M125,$C125)&gt;0,1,0)</f>
        <v>0</v>
      </c>
      <c r="AB125" s="0" t="n">
        <f aca="false">IF(COUNTIF(M125:O125,$C125)&gt;0,1,0)</f>
        <v>0</v>
      </c>
      <c r="AC125" s="0" t="n">
        <f aca="false">IF(COUNTIF(M125:Q125,$C125)&gt;0,1,0)</f>
        <v>0</v>
      </c>
      <c r="AD125" s="0" t="n">
        <f aca="false">IF(COUNTIF(M125:V125,$C125)&gt;0,1,0)</f>
        <v>0</v>
      </c>
      <c r="AE125" s="0" t="n">
        <f aca="false">IFERROR(MATCH(1,INDEX(--(COUNTIF($C125:$L125,M125:V125)&gt;0),0),0),"")</f>
        <v>1</v>
      </c>
      <c r="AF125" s="0" t="n">
        <v>7353</v>
      </c>
    </row>
    <row r="126" customFormat="false" ht="15" hidden="false" customHeight="false" outlineLevel="0" collapsed="false">
      <c r="A126" s="0" t="s">
        <v>280</v>
      </c>
      <c r="B126" s="0" t="s">
        <v>281</v>
      </c>
      <c r="C126" s="0" t="n">
        <v>172681</v>
      </c>
      <c r="D126" s="0" t="n">
        <v>169697</v>
      </c>
      <c r="E126" s="0" t="n">
        <v>174982</v>
      </c>
      <c r="F126" s="0" t="n">
        <v>141205</v>
      </c>
      <c r="G126" s="0" t="n">
        <v>170691</v>
      </c>
      <c r="H126" s="0" t="n">
        <v>145018</v>
      </c>
      <c r="I126" s="0" t="n">
        <v>174091</v>
      </c>
      <c r="J126" s="0" t="n">
        <v>78572</v>
      </c>
      <c r="K126" s="0" t="n">
        <v>115883</v>
      </c>
      <c r="L126" s="0" t="n">
        <v>149108</v>
      </c>
      <c r="M126" s="0" t="n">
        <v>6224</v>
      </c>
      <c r="N126" s="0" t="n">
        <v>76573</v>
      </c>
      <c r="O126" s="0" t="n">
        <v>161745</v>
      </c>
      <c r="P126" s="0" t="n">
        <v>125541</v>
      </c>
      <c r="Q126" s="0" t="n">
        <v>174982</v>
      </c>
      <c r="R126" s="0" t="n">
        <v>68489</v>
      </c>
      <c r="S126" s="0" t="n">
        <v>145018</v>
      </c>
      <c r="T126" s="0" t="n">
        <v>123989</v>
      </c>
      <c r="U126" s="0" t="n">
        <v>141205</v>
      </c>
      <c r="V126" s="0" t="n">
        <v>169697</v>
      </c>
      <c r="W126" s="0" t="n">
        <f aca="false">IF(SUMPRODUCT(COUNTIF($C126:$L126,M126:M126))&gt;0,1,0)</f>
        <v>0</v>
      </c>
      <c r="X126" s="0" t="n">
        <f aca="false">IF(SUMPRODUCT(COUNTIF($C126:$L126,M126:O126))&gt;0,1,0)</f>
        <v>0</v>
      </c>
      <c r="Y126" s="0" t="n">
        <f aca="false">IF(SUMPRODUCT(COUNTIF($C126:$L126,M126:Q126))&gt;0,1,0)</f>
        <v>1</v>
      </c>
      <c r="Z126" s="0" t="n">
        <f aca="false">IF(SUMPRODUCT(COUNTIF($C126:$L126,M126:V126))&gt;0,1,0)</f>
        <v>1</v>
      </c>
      <c r="AA126" s="0" t="n">
        <f aca="false">IF(COUNTIF(M126:M126,$C126)&gt;0,1,0)</f>
        <v>0</v>
      </c>
      <c r="AB126" s="0" t="n">
        <f aca="false">IF(COUNTIF(M126:O126,$C126)&gt;0,1,0)</f>
        <v>0</v>
      </c>
      <c r="AC126" s="0" t="n">
        <f aca="false">IF(COUNTIF(M126:Q126,$C126)&gt;0,1,0)</f>
        <v>0</v>
      </c>
      <c r="AD126" s="0" t="n">
        <f aca="false">IF(COUNTIF(M126:V126,$C126)&gt;0,1,0)</f>
        <v>0</v>
      </c>
      <c r="AE126" s="0" t="n">
        <f aca="false">IFERROR(MATCH(1,INDEX(--(COUNTIF($C126:$L126,M126:V126)&gt;0),0),0),"")</f>
        <v>5</v>
      </c>
      <c r="AF126" s="0" t="n">
        <v>7727</v>
      </c>
    </row>
    <row r="127" customFormat="false" ht="15" hidden="false" customHeight="false" outlineLevel="0" collapsed="false">
      <c r="A127" s="0" t="s">
        <v>282</v>
      </c>
      <c r="B127" s="0" t="s">
        <v>283</v>
      </c>
      <c r="C127" s="0" t="n">
        <v>151280</v>
      </c>
      <c r="D127" s="0" t="n">
        <v>190245</v>
      </c>
      <c r="E127" s="0" t="n">
        <v>190244</v>
      </c>
      <c r="F127" s="0" t="n">
        <v>200190</v>
      </c>
      <c r="G127" s="0" t="n">
        <v>173613</v>
      </c>
      <c r="H127" s="0" t="n">
        <v>197475</v>
      </c>
      <c r="I127" s="0" t="n">
        <v>172284</v>
      </c>
      <c r="J127" s="0" t="n">
        <v>169695</v>
      </c>
      <c r="K127" s="0" t="n">
        <v>172566</v>
      </c>
      <c r="L127" s="0" t="n">
        <v>195366</v>
      </c>
      <c r="M127" s="0" t="n">
        <v>56150</v>
      </c>
      <c r="N127" s="0" t="n">
        <v>170959</v>
      </c>
      <c r="O127" s="0" t="n">
        <v>190246</v>
      </c>
      <c r="P127" s="0" t="n">
        <v>151280</v>
      </c>
      <c r="Q127" s="0" t="n">
        <v>158353</v>
      </c>
      <c r="R127" s="0" t="n">
        <v>190244</v>
      </c>
      <c r="S127" s="0" t="n">
        <v>152679</v>
      </c>
      <c r="T127" s="0" t="n">
        <v>83049</v>
      </c>
      <c r="U127" s="0" t="n">
        <v>81354</v>
      </c>
      <c r="V127" s="0" t="n">
        <v>172569</v>
      </c>
      <c r="W127" s="0" t="n">
        <f aca="false">IF(SUMPRODUCT(COUNTIF($C127:$L127,M127:M127))&gt;0,1,0)</f>
        <v>0</v>
      </c>
      <c r="X127" s="0" t="n">
        <f aca="false">IF(SUMPRODUCT(COUNTIF($C127:$L127,M127:O127))&gt;0,1,0)</f>
        <v>0</v>
      </c>
      <c r="Y127" s="0" t="n">
        <f aca="false">IF(SUMPRODUCT(COUNTIF($C127:$L127,M127:Q127))&gt;0,1,0)</f>
        <v>1</v>
      </c>
      <c r="Z127" s="0" t="n">
        <f aca="false">IF(SUMPRODUCT(COUNTIF($C127:$L127,M127:V127))&gt;0,1,0)</f>
        <v>1</v>
      </c>
      <c r="AA127" s="0" t="n">
        <f aca="false">IF(COUNTIF(M127:M127,$C127)&gt;0,1,0)</f>
        <v>0</v>
      </c>
      <c r="AB127" s="0" t="n">
        <f aca="false">IF(COUNTIF(M127:O127,$C127)&gt;0,1,0)</f>
        <v>0</v>
      </c>
      <c r="AC127" s="0" t="n">
        <f aca="false">IF(COUNTIF(M127:Q127,$C127)&gt;0,1,0)</f>
        <v>1</v>
      </c>
      <c r="AD127" s="0" t="n">
        <f aca="false">IF(COUNTIF(M127:V127,$C127)&gt;0,1,0)</f>
        <v>1</v>
      </c>
      <c r="AE127" s="0" t="n">
        <f aca="false">IFERROR(MATCH(1,INDEX(--(COUNTIF($C127:$L127,M127:V127)&gt;0),0),0),"")</f>
        <v>4</v>
      </c>
      <c r="AF127" s="0" t="n">
        <v>7389</v>
      </c>
    </row>
    <row r="128" customFormat="false" ht="15" hidden="false" customHeight="false" outlineLevel="0" collapsed="false">
      <c r="A128" s="0" t="s">
        <v>284</v>
      </c>
      <c r="B128" s="0" t="s">
        <v>285</v>
      </c>
      <c r="C128" s="0" t="n">
        <v>29990</v>
      </c>
      <c r="D128" s="0" t="n">
        <v>168595</v>
      </c>
      <c r="E128" s="0" t="n">
        <v>93388</v>
      </c>
      <c r="F128" s="0" t="n">
        <v>158033</v>
      </c>
      <c r="G128" s="0" t="n">
        <v>93110</v>
      </c>
      <c r="H128" s="0" t="n">
        <v>168510</v>
      </c>
      <c r="I128" s="0" t="n">
        <v>150514</v>
      </c>
      <c r="J128" s="0" t="n">
        <v>115215</v>
      </c>
      <c r="K128" s="0" t="n">
        <v>122095</v>
      </c>
      <c r="L128" s="0" t="n">
        <v>48135</v>
      </c>
      <c r="M128" s="0" t="n">
        <v>47397</v>
      </c>
      <c r="N128" s="0" t="n">
        <v>93388</v>
      </c>
      <c r="O128" s="0" t="n">
        <v>168510</v>
      </c>
      <c r="P128" s="0" t="n">
        <v>48139</v>
      </c>
      <c r="Q128" s="0" t="n">
        <v>151293</v>
      </c>
      <c r="R128" s="0" t="n">
        <v>92934</v>
      </c>
      <c r="S128" s="0" t="n">
        <v>151856</v>
      </c>
      <c r="T128" s="0" t="n">
        <v>83041</v>
      </c>
      <c r="U128" s="0" t="n">
        <v>158941</v>
      </c>
      <c r="V128" s="0" t="n">
        <v>115213</v>
      </c>
      <c r="W128" s="0" t="n">
        <f aca="false">IF(SUMPRODUCT(COUNTIF($C128:$L128,M128:M128))&gt;0,1,0)</f>
        <v>0</v>
      </c>
      <c r="X128" s="0" t="n">
        <f aca="false">IF(SUMPRODUCT(COUNTIF($C128:$L128,M128:O128))&gt;0,1,0)</f>
        <v>1</v>
      </c>
      <c r="Y128" s="0" t="n">
        <f aca="false">IF(SUMPRODUCT(COUNTIF($C128:$L128,M128:Q128))&gt;0,1,0)</f>
        <v>1</v>
      </c>
      <c r="Z128" s="0" t="n">
        <f aca="false">IF(SUMPRODUCT(COUNTIF($C128:$L128,M128:V128))&gt;0,1,0)</f>
        <v>1</v>
      </c>
      <c r="AA128" s="0" t="n">
        <f aca="false">IF(COUNTIF(M128:M128,$C128)&gt;0,1,0)</f>
        <v>0</v>
      </c>
      <c r="AB128" s="0" t="n">
        <f aca="false">IF(COUNTIF(M128:O128,$C128)&gt;0,1,0)</f>
        <v>0</v>
      </c>
      <c r="AC128" s="0" t="n">
        <f aca="false">IF(COUNTIF(M128:Q128,$C128)&gt;0,1,0)</f>
        <v>0</v>
      </c>
      <c r="AD128" s="0" t="n">
        <f aca="false">IF(COUNTIF(M128:V128,$C128)&gt;0,1,0)</f>
        <v>0</v>
      </c>
      <c r="AE128" s="0" t="n">
        <f aca="false">IFERROR(MATCH(1,INDEX(--(COUNTIF($C128:$L128,M128:V128)&gt;0),0),0),"")</f>
        <v>2</v>
      </c>
      <c r="AF128" s="0" t="n">
        <v>7444</v>
      </c>
    </row>
    <row r="129" customFormat="false" ht="15" hidden="false" customHeight="false" outlineLevel="0" collapsed="false">
      <c r="A129" s="0" t="s">
        <v>286</v>
      </c>
      <c r="B129" s="0" t="s">
        <v>287</v>
      </c>
      <c r="C129" s="0" t="n">
        <v>121527</v>
      </c>
      <c r="D129" s="0" t="n">
        <v>112717</v>
      </c>
      <c r="E129" s="0" t="n">
        <v>56070</v>
      </c>
      <c r="F129" s="0" t="n">
        <v>140563</v>
      </c>
      <c r="G129" s="0" t="n">
        <v>140687</v>
      </c>
      <c r="H129" s="0" t="n">
        <v>78018</v>
      </c>
      <c r="I129" s="0" t="n">
        <v>175454</v>
      </c>
      <c r="J129" s="0" t="n">
        <v>140562</v>
      </c>
      <c r="K129" s="0" t="n">
        <v>6356</v>
      </c>
      <c r="L129" s="0" t="n">
        <v>143656</v>
      </c>
      <c r="M129" s="0" t="n">
        <v>90451</v>
      </c>
      <c r="N129" s="0" t="n">
        <v>78657</v>
      </c>
      <c r="O129" s="0" t="n">
        <v>78018</v>
      </c>
      <c r="P129" s="0" t="n">
        <v>131345</v>
      </c>
      <c r="Q129" s="0" t="n">
        <v>90452</v>
      </c>
      <c r="R129" s="0" t="n">
        <v>115947</v>
      </c>
      <c r="S129" s="0" t="n">
        <v>175454</v>
      </c>
      <c r="T129" s="0" t="n">
        <v>151655</v>
      </c>
      <c r="U129" s="0" t="n">
        <v>170101</v>
      </c>
      <c r="V129" s="0" t="n">
        <v>195504</v>
      </c>
      <c r="W129" s="0" t="n">
        <f aca="false">IF(SUMPRODUCT(COUNTIF($C129:$L129,M129:M129))&gt;0,1,0)</f>
        <v>0</v>
      </c>
      <c r="X129" s="0" t="n">
        <f aca="false">IF(SUMPRODUCT(COUNTIF($C129:$L129,M129:O129))&gt;0,1,0)</f>
        <v>1</v>
      </c>
      <c r="Y129" s="0" t="n">
        <f aca="false">IF(SUMPRODUCT(COUNTIF($C129:$L129,M129:Q129))&gt;0,1,0)</f>
        <v>1</v>
      </c>
      <c r="Z129" s="0" t="n">
        <f aca="false">IF(SUMPRODUCT(COUNTIF($C129:$L129,M129:V129))&gt;0,1,0)</f>
        <v>1</v>
      </c>
      <c r="AA129" s="0" t="n">
        <f aca="false">IF(COUNTIF(M129:M129,$C129)&gt;0,1,0)</f>
        <v>0</v>
      </c>
      <c r="AB129" s="0" t="n">
        <f aca="false">IF(COUNTIF(M129:O129,$C129)&gt;0,1,0)</f>
        <v>0</v>
      </c>
      <c r="AC129" s="0" t="n">
        <f aca="false">IF(COUNTIF(M129:Q129,$C129)&gt;0,1,0)</f>
        <v>0</v>
      </c>
      <c r="AD129" s="0" t="n">
        <f aca="false">IF(COUNTIF(M129:V129,$C129)&gt;0,1,0)</f>
        <v>0</v>
      </c>
      <c r="AE129" s="0" t="n">
        <f aca="false">IFERROR(MATCH(1,INDEX(--(COUNTIF($C129:$L129,M129:V129)&gt;0),0),0),"")</f>
        <v>3</v>
      </c>
      <c r="AF129" s="0" t="n">
        <v>7514</v>
      </c>
    </row>
    <row r="130" customFormat="false" ht="15" hidden="false" customHeight="false" outlineLevel="0" collapsed="false">
      <c r="A130" s="0" t="s">
        <v>288</v>
      </c>
      <c r="B130" s="0" t="s">
        <v>289</v>
      </c>
      <c r="C130" s="0" t="n">
        <v>68264</v>
      </c>
      <c r="D130" s="0" t="n">
        <v>151203</v>
      </c>
      <c r="E130" s="0" t="n">
        <v>10114</v>
      </c>
      <c r="F130" s="0" t="n">
        <v>151856</v>
      </c>
      <c r="G130" s="0" t="n">
        <v>154836</v>
      </c>
      <c r="H130" s="0" t="n">
        <v>139649</v>
      </c>
      <c r="I130" s="0" t="n">
        <v>153527</v>
      </c>
      <c r="J130" s="0" t="n">
        <v>127024</v>
      </c>
      <c r="K130" s="0" t="n">
        <v>101908</v>
      </c>
      <c r="L130" s="0" t="n">
        <v>47399</v>
      </c>
      <c r="M130" s="0" t="n">
        <v>95956</v>
      </c>
      <c r="N130" s="0" t="n">
        <v>155524</v>
      </c>
      <c r="O130" s="0" t="n">
        <v>164947</v>
      </c>
      <c r="P130" s="0" t="n">
        <v>151856</v>
      </c>
      <c r="Q130" s="0" t="n">
        <v>169371</v>
      </c>
      <c r="R130" s="0" t="n">
        <v>52011</v>
      </c>
      <c r="S130" s="0" t="n">
        <v>10114</v>
      </c>
      <c r="T130" s="0" t="n">
        <v>83433</v>
      </c>
      <c r="U130" s="0" t="n">
        <v>78743</v>
      </c>
      <c r="V130" s="0" t="n">
        <v>115720</v>
      </c>
      <c r="W130" s="0" t="n">
        <f aca="false">IF(SUMPRODUCT(COUNTIF($C130:$L130,M130:M130))&gt;0,1,0)</f>
        <v>0</v>
      </c>
      <c r="X130" s="0" t="n">
        <f aca="false">IF(SUMPRODUCT(COUNTIF($C130:$L130,M130:O130))&gt;0,1,0)</f>
        <v>0</v>
      </c>
      <c r="Y130" s="0" t="n">
        <f aca="false">IF(SUMPRODUCT(COUNTIF($C130:$L130,M130:Q130))&gt;0,1,0)</f>
        <v>1</v>
      </c>
      <c r="Z130" s="0" t="n">
        <f aca="false">IF(SUMPRODUCT(COUNTIF($C130:$L130,M130:V130))&gt;0,1,0)</f>
        <v>1</v>
      </c>
      <c r="AA130" s="0" t="n">
        <f aca="false">IF(COUNTIF(M130:M130,$C130)&gt;0,1,0)</f>
        <v>0</v>
      </c>
      <c r="AB130" s="0" t="n">
        <f aca="false">IF(COUNTIF(M130:O130,$C130)&gt;0,1,0)</f>
        <v>0</v>
      </c>
      <c r="AC130" s="0" t="n">
        <f aca="false">IF(COUNTIF(M130:Q130,$C130)&gt;0,1,0)</f>
        <v>0</v>
      </c>
      <c r="AD130" s="0" t="n">
        <f aca="false">IF(COUNTIF(M130:V130,$C130)&gt;0,1,0)</f>
        <v>0</v>
      </c>
      <c r="AE130" s="0" t="n">
        <f aca="false">IFERROR(MATCH(1,INDEX(--(COUNTIF($C130:$L130,M130:V130)&gt;0),0),0),"")</f>
        <v>4</v>
      </c>
      <c r="AF130" s="0" t="n">
        <v>7811</v>
      </c>
    </row>
    <row r="131" customFormat="false" ht="15" hidden="false" customHeight="false" outlineLevel="0" collapsed="false">
      <c r="A131" s="0" t="s">
        <v>290</v>
      </c>
      <c r="B131" s="0" t="s">
        <v>291</v>
      </c>
      <c r="C131" s="0" t="n">
        <v>171935</v>
      </c>
      <c r="D131" s="0" t="n">
        <v>171932</v>
      </c>
      <c r="E131" s="0" t="n">
        <v>158995</v>
      </c>
      <c r="F131" s="0" t="n">
        <v>100094</v>
      </c>
      <c r="G131" s="0" t="n">
        <v>37352</v>
      </c>
      <c r="H131" s="0" t="n">
        <v>35736</v>
      </c>
      <c r="I131" s="0" t="n">
        <v>158798</v>
      </c>
      <c r="J131" s="0" t="n">
        <v>59682</v>
      </c>
      <c r="K131" s="0" t="n">
        <v>175241</v>
      </c>
      <c r="L131" s="0" t="n">
        <v>133528</v>
      </c>
      <c r="M131" s="0" t="n">
        <v>59682</v>
      </c>
      <c r="N131" s="0" t="n">
        <v>37352</v>
      </c>
      <c r="O131" s="0" t="n">
        <v>182604</v>
      </c>
      <c r="P131" s="0" t="n">
        <v>100094</v>
      </c>
      <c r="Q131" s="0" t="n">
        <v>175241</v>
      </c>
      <c r="R131" s="0" t="n">
        <v>131730</v>
      </c>
      <c r="S131" s="0" t="n">
        <v>171935</v>
      </c>
      <c r="T131" s="0" t="n">
        <v>168681</v>
      </c>
      <c r="U131" s="0" t="n">
        <v>164878</v>
      </c>
      <c r="V131" s="0" t="n">
        <v>112719</v>
      </c>
      <c r="W131" s="0" t="n">
        <f aca="false">IF(SUMPRODUCT(COUNTIF($C131:$L131,M131:M131))&gt;0,1,0)</f>
        <v>1</v>
      </c>
      <c r="X131" s="0" t="n">
        <f aca="false">IF(SUMPRODUCT(COUNTIF($C131:$L131,M131:O131))&gt;0,1,0)</f>
        <v>1</v>
      </c>
      <c r="Y131" s="0" t="n">
        <f aca="false">IF(SUMPRODUCT(COUNTIF($C131:$L131,M131:Q131))&gt;0,1,0)</f>
        <v>1</v>
      </c>
      <c r="Z131" s="0" t="n">
        <f aca="false">IF(SUMPRODUCT(COUNTIF($C131:$L131,M131:V131))&gt;0,1,0)</f>
        <v>1</v>
      </c>
      <c r="AA131" s="0" t="n">
        <f aca="false">IF(COUNTIF(M131:M131,$C131)&gt;0,1,0)</f>
        <v>0</v>
      </c>
      <c r="AB131" s="0" t="n">
        <f aca="false">IF(COUNTIF(M131:O131,$C131)&gt;0,1,0)</f>
        <v>0</v>
      </c>
      <c r="AC131" s="0" t="n">
        <f aca="false">IF(COUNTIF(M131:Q131,$C131)&gt;0,1,0)</f>
        <v>0</v>
      </c>
      <c r="AD131" s="0" t="n">
        <f aca="false">IF(COUNTIF(M131:V131,$C131)&gt;0,1,0)</f>
        <v>1</v>
      </c>
      <c r="AE131" s="0" t="n">
        <f aca="false">IFERROR(MATCH(1,INDEX(--(COUNTIF($C131:$L131,M131:V131)&gt;0),0),0),"")</f>
        <v>1</v>
      </c>
      <c r="AF131" s="0" t="n">
        <v>7810</v>
      </c>
    </row>
    <row r="132" customFormat="false" ht="15" hidden="false" customHeight="false" outlineLevel="0" collapsed="false">
      <c r="A132" s="0" t="s">
        <v>292</v>
      </c>
      <c r="B132" s="0" t="s">
        <v>293</v>
      </c>
      <c r="C132" s="0" t="n">
        <v>158683</v>
      </c>
      <c r="D132" s="0" t="n">
        <v>59389</v>
      </c>
      <c r="E132" s="0" t="n">
        <v>40472</v>
      </c>
      <c r="F132" s="0" t="n">
        <v>67385</v>
      </c>
      <c r="G132" s="0" t="n">
        <v>142931</v>
      </c>
      <c r="H132" s="0" t="n">
        <v>196733</v>
      </c>
      <c r="I132" s="0" t="n">
        <v>186191</v>
      </c>
      <c r="J132" s="0" t="n">
        <v>160234</v>
      </c>
      <c r="K132" s="0" t="n">
        <v>78572</v>
      </c>
      <c r="L132" s="0" t="n">
        <v>32378</v>
      </c>
      <c r="M132" s="0" t="n">
        <v>145433</v>
      </c>
      <c r="N132" s="0" t="n">
        <v>12910</v>
      </c>
      <c r="O132" s="0" t="n">
        <v>142931</v>
      </c>
      <c r="P132" s="0" t="n">
        <v>196733</v>
      </c>
      <c r="Q132" s="0" t="n">
        <v>186191</v>
      </c>
      <c r="R132" s="0" t="n">
        <v>158683</v>
      </c>
      <c r="S132" s="0" t="n">
        <v>196645</v>
      </c>
      <c r="T132" s="0" t="n">
        <v>170338</v>
      </c>
      <c r="U132" s="0" t="n">
        <v>134683</v>
      </c>
      <c r="V132" s="0" t="n">
        <v>113220</v>
      </c>
      <c r="W132" s="0" t="n">
        <f aca="false">IF(SUMPRODUCT(COUNTIF($C132:$L132,M132:M132))&gt;0,1,0)</f>
        <v>0</v>
      </c>
      <c r="X132" s="0" t="n">
        <f aca="false">IF(SUMPRODUCT(COUNTIF($C132:$L132,M132:O132))&gt;0,1,0)</f>
        <v>1</v>
      </c>
      <c r="Y132" s="0" t="n">
        <f aca="false">IF(SUMPRODUCT(COUNTIF($C132:$L132,M132:Q132))&gt;0,1,0)</f>
        <v>1</v>
      </c>
      <c r="Z132" s="0" t="n">
        <f aca="false">IF(SUMPRODUCT(COUNTIF($C132:$L132,M132:V132))&gt;0,1,0)</f>
        <v>1</v>
      </c>
      <c r="AA132" s="0" t="n">
        <f aca="false">IF(COUNTIF(M132:M132,$C132)&gt;0,1,0)</f>
        <v>0</v>
      </c>
      <c r="AB132" s="0" t="n">
        <f aca="false">IF(COUNTIF(M132:O132,$C132)&gt;0,1,0)</f>
        <v>0</v>
      </c>
      <c r="AC132" s="0" t="n">
        <f aca="false">IF(COUNTIF(M132:Q132,$C132)&gt;0,1,0)</f>
        <v>0</v>
      </c>
      <c r="AD132" s="0" t="n">
        <f aca="false">IF(COUNTIF(M132:V132,$C132)&gt;0,1,0)</f>
        <v>1</v>
      </c>
      <c r="AE132" s="0" t="n">
        <f aca="false">IFERROR(MATCH(1,INDEX(--(COUNTIF($C132:$L132,M132:V132)&gt;0),0),0),"")</f>
        <v>3</v>
      </c>
      <c r="AF132" s="0" t="n">
        <v>7287</v>
      </c>
    </row>
    <row r="133" customFormat="false" ht="15" hidden="false" customHeight="false" outlineLevel="0" collapsed="false">
      <c r="A133" s="0" t="s">
        <v>294</v>
      </c>
      <c r="B133" s="0" t="s">
        <v>295</v>
      </c>
      <c r="C133" s="0" t="n">
        <v>159100</v>
      </c>
      <c r="D133" s="0" t="n">
        <v>170394</v>
      </c>
      <c r="E133" s="0" t="n">
        <v>92824</v>
      </c>
      <c r="F133" s="0" t="n">
        <v>170410</v>
      </c>
      <c r="G133" s="0" t="n">
        <v>125331</v>
      </c>
      <c r="H133" s="0" t="n">
        <v>109738</v>
      </c>
      <c r="I133" s="0" t="n">
        <v>123746</v>
      </c>
      <c r="J133" s="0" t="n">
        <v>77984</v>
      </c>
      <c r="K133" s="0" t="n">
        <v>168359</v>
      </c>
      <c r="L133" s="0" t="n">
        <v>196395</v>
      </c>
      <c r="M133" s="0" t="n">
        <v>159103</v>
      </c>
      <c r="N133" s="0" t="n">
        <v>155546</v>
      </c>
      <c r="O133" s="0" t="n">
        <v>83433</v>
      </c>
      <c r="P133" s="0" t="n">
        <v>170044</v>
      </c>
      <c r="Q133" s="0" t="n">
        <v>166917</v>
      </c>
      <c r="R133" s="0" t="n">
        <v>159100</v>
      </c>
      <c r="S133" s="0" t="n">
        <v>30778</v>
      </c>
      <c r="T133" s="0" t="n">
        <v>89790</v>
      </c>
      <c r="U133" s="0" t="n">
        <v>181526</v>
      </c>
      <c r="V133" s="0" t="n">
        <v>180291</v>
      </c>
      <c r="W133" s="0" t="n">
        <f aca="false">IF(SUMPRODUCT(COUNTIF($C133:$L133,M133:M133))&gt;0,1,0)</f>
        <v>0</v>
      </c>
      <c r="X133" s="0" t="n">
        <f aca="false">IF(SUMPRODUCT(COUNTIF($C133:$L133,M133:O133))&gt;0,1,0)</f>
        <v>0</v>
      </c>
      <c r="Y133" s="0" t="n">
        <f aca="false">IF(SUMPRODUCT(COUNTIF($C133:$L133,M133:Q133))&gt;0,1,0)</f>
        <v>0</v>
      </c>
      <c r="Z133" s="0" t="n">
        <f aca="false">IF(SUMPRODUCT(COUNTIF($C133:$L133,M133:V133))&gt;0,1,0)</f>
        <v>1</v>
      </c>
      <c r="AA133" s="0" t="n">
        <f aca="false">IF(COUNTIF(M133:M133,$C133)&gt;0,1,0)</f>
        <v>0</v>
      </c>
      <c r="AB133" s="0" t="n">
        <f aca="false">IF(COUNTIF(M133:O133,$C133)&gt;0,1,0)</f>
        <v>0</v>
      </c>
      <c r="AC133" s="0" t="n">
        <f aca="false">IF(COUNTIF(M133:Q133,$C133)&gt;0,1,0)</f>
        <v>0</v>
      </c>
      <c r="AD133" s="0" t="n">
        <f aca="false">IF(COUNTIF(M133:V133,$C133)&gt;0,1,0)</f>
        <v>1</v>
      </c>
      <c r="AE133" s="0" t="n">
        <f aca="false">IFERROR(MATCH(1,INDEX(--(COUNTIF($C133:$L133,M133:V133)&gt;0),0),0),"")</f>
        <v>6</v>
      </c>
      <c r="AF133" s="0" t="n">
        <v>7293</v>
      </c>
    </row>
    <row r="134" customFormat="false" ht="15" hidden="false" customHeight="false" outlineLevel="0" collapsed="false">
      <c r="A134" s="0" t="s">
        <v>296</v>
      </c>
      <c r="B134" s="0" t="s">
        <v>297</v>
      </c>
      <c r="C134" s="0" t="n">
        <v>148682</v>
      </c>
      <c r="D134" s="0" t="n">
        <v>157610</v>
      </c>
      <c r="E134" s="0" t="n">
        <v>196082</v>
      </c>
      <c r="F134" s="0" t="n">
        <v>199353</v>
      </c>
      <c r="G134" s="0" t="n">
        <v>107945</v>
      </c>
      <c r="H134" s="0" t="n">
        <v>55263</v>
      </c>
      <c r="I134" s="0" t="n">
        <v>45895</v>
      </c>
      <c r="J134" s="0" t="n">
        <v>29018</v>
      </c>
      <c r="K134" s="0" t="n">
        <v>126197</v>
      </c>
      <c r="L134" s="0" t="n">
        <v>140000</v>
      </c>
      <c r="M134" s="0" t="n">
        <v>29018</v>
      </c>
      <c r="N134" s="0" t="n">
        <v>113220</v>
      </c>
      <c r="O134" s="0" t="n">
        <v>107945</v>
      </c>
      <c r="P134" s="0" t="n">
        <v>148682</v>
      </c>
      <c r="Q134" s="0" t="n">
        <v>100519</v>
      </c>
      <c r="R134" s="0" t="n">
        <v>199353</v>
      </c>
      <c r="S134" s="0" t="n">
        <v>157610</v>
      </c>
      <c r="T134" s="0" t="n">
        <v>196082</v>
      </c>
      <c r="U134" s="0" t="n">
        <v>170419</v>
      </c>
      <c r="V134" s="0" t="n">
        <v>130905</v>
      </c>
      <c r="W134" s="0" t="n">
        <f aca="false">IF(SUMPRODUCT(COUNTIF($C134:$L134,M134:M134))&gt;0,1,0)</f>
        <v>1</v>
      </c>
      <c r="X134" s="0" t="n">
        <f aca="false">IF(SUMPRODUCT(COUNTIF($C134:$L134,M134:O134))&gt;0,1,0)</f>
        <v>1</v>
      </c>
      <c r="Y134" s="0" t="n">
        <f aca="false">IF(SUMPRODUCT(COUNTIF($C134:$L134,M134:Q134))&gt;0,1,0)</f>
        <v>1</v>
      </c>
      <c r="Z134" s="0" t="n">
        <f aca="false">IF(SUMPRODUCT(COUNTIF($C134:$L134,M134:V134))&gt;0,1,0)</f>
        <v>1</v>
      </c>
      <c r="AA134" s="0" t="n">
        <f aca="false">IF(COUNTIF(M134:M134,$C134)&gt;0,1,0)</f>
        <v>0</v>
      </c>
      <c r="AB134" s="0" t="n">
        <f aca="false">IF(COUNTIF(M134:O134,$C134)&gt;0,1,0)</f>
        <v>0</v>
      </c>
      <c r="AC134" s="0" t="n">
        <f aca="false">IF(COUNTIF(M134:Q134,$C134)&gt;0,1,0)</f>
        <v>1</v>
      </c>
      <c r="AD134" s="0" t="n">
        <f aca="false">IF(COUNTIF(M134:V134,$C134)&gt;0,1,0)</f>
        <v>1</v>
      </c>
      <c r="AE134" s="0" t="n">
        <f aca="false">IFERROR(MATCH(1,INDEX(--(COUNTIF($C134:$L134,M134:V134)&gt;0),0),0),"")</f>
        <v>1</v>
      </c>
      <c r="AF134" s="0" t="n">
        <v>6851</v>
      </c>
    </row>
    <row r="135" customFormat="false" ht="15" hidden="false" customHeight="false" outlineLevel="0" collapsed="false">
      <c r="A135" s="0" t="s">
        <v>298</v>
      </c>
      <c r="B135" s="0" t="s">
        <v>299</v>
      </c>
      <c r="C135" s="0" t="n">
        <v>120515</v>
      </c>
      <c r="D135" s="0" t="n">
        <v>39713</v>
      </c>
      <c r="E135" s="0" t="n">
        <v>120501</v>
      </c>
      <c r="F135" s="0" t="n">
        <v>39691</v>
      </c>
      <c r="G135" s="0" t="n">
        <v>139630</v>
      </c>
      <c r="H135" s="0" t="n">
        <v>39699</v>
      </c>
      <c r="I135" s="0" t="n">
        <v>155538</v>
      </c>
      <c r="J135" s="0" t="n">
        <v>120513</v>
      </c>
      <c r="K135" s="0" t="n">
        <v>39694</v>
      </c>
      <c r="L135" s="0" t="n">
        <v>30007</v>
      </c>
      <c r="M135" s="0" t="n">
        <v>39713</v>
      </c>
      <c r="N135" s="0" t="n">
        <v>135539</v>
      </c>
      <c r="O135" s="0" t="n">
        <v>151016</v>
      </c>
      <c r="P135" s="0" t="n">
        <v>120515</v>
      </c>
      <c r="Q135" s="0" t="n">
        <v>110426</v>
      </c>
      <c r="R135" s="0" t="n">
        <v>39692</v>
      </c>
      <c r="S135" s="0" t="n">
        <v>39706</v>
      </c>
      <c r="T135" s="0" t="n">
        <v>164984</v>
      </c>
      <c r="U135" s="0" t="n">
        <v>120496</v>
      </c>
      <c r="V135" s="0" t="n">
        <v>120492</v>
      </c>
      <c r="W135" s="0" t="n">
        <f aca="false">IF(SUMPRODUCT(COUNTIF($C135:$L135,M135:M135))&gt;0,1,0)</f>
        <v>1</v>
      </c>
      <c r="X135" s="0" t="n">
        <f aca="false">IF(SUMPRODUCT(COUNTIF($C135:$L135,M135:O135))&gt;0,1,0)</f>
        <v>1</v>
      </c>
      <c r="Y135" s="0" t="n">
        <f aca="false">IF(SUMPRODUCT(COUNTIF($C135:$L135,M135:Q135))&gt;0,1,0)</f>
        <v>1</v>
      </c>
      <c r="Z135" s="0" t="n">
        <f aca="false">IF(SUMPRODUCT(COUNTIF($C135:$L135,M135:V135))&gt;0,1,0)</f>
        <v>1</v>
      </c>
      <c r="AA135" s="0" t="n">
        <f aca="false">IF(COUNTIF(M135:M135,$C135)&gt;0,1,0)</f>
        <v>0</v>
      </c>
      <c r="AB135" s="0" t="n">
        <f aca="false">IF(COUNTIF(M135:O135,$C135)&gt;0,1,0)</f>
        <v>0</v>
      </c>
      <c r="AC135" s="0" t="n">
        <f aca="false">IF(COUNTIF(M135:Q135,$C135)&gt;0,1,0)</f>
        <v>1</v>
      </c>
      <c r="AD135" s="0" t="n">
        <f aca="false">IF(COUNTIF(M135:V135,$C135)&gt;0,1,0)</f>
        <v>1</v>
      </c>
      <c r="AE135" s="0" t="n">
        <f aca="false">IFERROR(MATCH(1,INDEX(--(COUNTIF($C135:$L135,M135:V135)&gt;0),0),0),"")</f>
        <v>1</v>
      </c>
      <c r="AF135" s="0" t="n">
        <v>6850</v>
      </c>
    </row>
    <row r="136" customFormat="false" ht="15" hidden="false" customHeight="false" outlineLevel="0" collapsed="false">
      <c r="A136" s="0" t="s">
        <v>300</v>
      </c>
      <c r="B136" s="0" t="s">
        <v>301</v>
      </c>
      <c r="C136" s="0" t="n">
        <v>41673</v>
      </c>
      <c r="D136" s="0" t="n">
        <v>188457</v>
      </c>
      <c r="E136" s="0" t="n">
        <v>188452</v>
      </c>
      <c r="F136" s="0" t="n">
        <v>154432</v>
      </c>
      <c r="G136" s="0" t="n">
        <v>121099</v>
      </c>
      <c r="H136" s="0" t="n">
        <v>125571</v>
      </c>
      <c r="I136" s="0" t="n">
        <v>168682</v>
      </c>
      <c r="J136" s="0" t="n">
        <v>178359</v>
      </c>
      <c r="K136" s="0" t="n">
        <v>139540</v>
      </c>
      <c r="L136" s="0" t="n">
        <v>130714</v>
      </c>
      <c r="M136" s="0" t="n">
        <v>41673</v>
      </c>
      <c r="N136" s="0" t="n">
        <v>125571</v>
      </c>
      <c r="O136" s="0" t="n">
        <v>43832</v>
      </c>
      <c r="P136" s="0" t="n">
        <v>21749</v>
      </c>
      <c r="Q136" s="0" t="n">
        <v>188452</v>
      </c>
      <c r="R136" s="0" t="n">
        <v>190116</v>
      </c>
      <c r="S136" s="0" t="n">
        <v>139540</v>
      </c>
      <c r="T136" s="0" t="n">
        <v>190126</v>
      </c>
      <c r="U136" s="0" t="n">
        <v>137489</v>
      </c>
      <c r="V136" s="0" t="n">
        <v>188457</v>
      </c>
      <c r="W136" s="0" t="n">
        <f aca="false">IF(SUMPRODUCT(COUNTIF($C136:$L136,M136:M136))&gt;0,1,0)</f>
        <v>1</v>
      </c>
      <c r="X136" s="0" t="n">
        <f aca="false">IF(SUMPRODUCT(COUNTIF($C136:$L136,M136:O136))&gt;0,1,0)</f>
        <v>1</v>
      </c>
      <c r="Y136" s="0" t="n">
        <f aca="false">IF(SUMPRODUCT(COUNTIF($C136:$L136,M136:Q136))&gt;0,1,0)</f>
        <v>1</v>
      </c>
      <c r="Z136" s="0" t="n">
        <f aca="false">IF(SUMPRODUCT(COUNTIF($C136:$L136,M136:V136))&gt;0,1,0)</f>
        <v>1</v>
      </c>
      <c r="AA136" s="0" t="n">
        <f aca="false">IF(COUNTIF(M136:M136,$C136)&gt;0,1,0)</f>
        <v>1</v>
      </c>
      <c r="AB136" s="0" t="n">
        <f aca="false">IF(COUNTIF(M136:O136,$C136)&gt;0,1,0)</f>
        <v>1</v>
      </c>
      <c r="AC136" s="0" t="n">
        <f aca="false">IF(COUNTIF(M136:Q136,$C136)&gt;0,1,0)</f>
        <v>1</v>
      </c>
      <c r="AD136" s="0" t="n">
        <f aca="false">IF(COUNTIF(M136:V136,$C136)&gt;0,1,0)</f>
        <v>1</v>
      </c>
      <c r="AE136" s="0" t="n">
        <f aca="false">IFERROR(MATCH(1,INDEX(--(COUNTIF($C136:$L136,M136:V136)&gt;0),0),0),"")</f>
        <v>1</v>
      </c>
      <c r="AF136" s="0" t="n">
        <v>7168</v>
      </c>
    </row>
    <row r="138" customFormat="false" ht="15" hidden="false" customHeight="false" outlineLevel="0" collapsed="false">
      <c r="A138" s="2" t="s">
        <v>302</v>
      </c>
      <c r="W138" s="3" t="n">
        <f aca="false">AVERAGE(W2:W136)</f>
        <v>0.503703703703704</v>
      </c>
      <c r="X138" s="3" t="n">
        <f aca="false">AVERAGE(X2:X136)</f>
        <v>0.688888888888889</v>
      </c>
      <c r="Y138" s="3" t="n">
        <f aca="false">AVERAGE(Y2:Y136)</f>
        <v>0.814814814814815</v>
      </c>
      <c r="Z138" s="3" t="n">
        <f aca="false">AVERAGE(Z2:Z136)</f>
        <v>0.911111111111111</v>
      </c>
      <c r="AA138" s="3" t="n">
        <f aca="false">AVERAGE(AA2:AA136)</f>
        <v>0.125925925925926</v>
      </c>
      <c r="AB138" s="3" t="n">
        <f aca="false">AVERAGE(AB2:AB136)</f>
        <v>0.355555555555556</v>
      </c>
      <c r="AC138" s="3" t="n">
        <f aca="false">AVERAGE(AC2:AC136)</f>
        <v>0.496296296296296</v>
      </c>
      <c r="AD138" s="3" t="n">
        <f aca="false">AVERAGE(AD2:AD136)</f>
        <v>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2026-10-12T04:56:35Z</dcterms:created>
  <dc:creator>openpyxl</dc:creator>
  <dc:description/>
  <dc:language>en-US</dc:language>
  <cp:lastModifiedBy/>
  <dcterms:modified xsi:type="dcterms:W3CDTF">2026-10-12T04:56:35Z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